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 JB\Mejoras\KPI+S MEJORADOS\"/>
    </mc:Choice>
  </mc:AlternateContent>
  <xr:revisionPtr revIDLastSave="0" documentId="13_ncr:1_{CDE615F5-3CF2-4265-9700-F3AA3A92774E}" xr6:coauthVersionLast="47" xr6:coauthVersionMax="47" xr10:uidLastSave="{00000000-0000-0000-0000-000000000000}"/>
  <bookViews>
    <workbookView xWindow="-105" yWindow="0" windowWidth="19410" windowHeight="20985" activeTab="1" xr2:uid="{00000000-000D-0000-FFFF-FFFF00000000}"/>
  </bookViews>
  <sheets>
    <sheet name="1_Registros" sheetId="1" r:id="rId1"/>
    <sheet name="2_Metas" sheetId="2" r:id="rId2"/>
    <sheet name="3_Planes" sheetId="3" r:id="rId3"/>
    <sheet name="4_Informes" sheetId="4" r:id="rId4"/>
    <sheet name="5_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52" i="2" l="1"/>
  <c r="N152" i="2"/>
  <c r="M153" i="2"/>
  <c r="N153" i="2"/>
  <c r="N151" i="2"/>
  <c r="M151" i="2"/>
  <c r="N150" i="2"/>
  <c r="M150" i="2"/>
  <c r="N149" i="2"/>
  <c r="M149" i="2"/>
  <c r="N148" i="2"/>
  <c r="M148" i="2"/>
  <c r="N147" i="2"/>
  <c r="M147" i="2"/>
  <c r="N146" i="2"/>
  <c r="M146" i="2"/>
  <c r="N145" i="2"/>
  <c r="M145" i="2"/>
  <c r="N144" i="2"/>
  <c r="M144" i="2"/>
  <c r="N143" i="2"/>
  <c r="M143" i="2"/>
  <c r="N142" i="2"/>
  <c r="M142" i="2"/>
  <c r="N141" i="2"/>
  <c r="M141" i="2"/>
  <c r="N140" i="2"/>
  <c r="M140" i="2"/>
  <c r="N139" i="2"/>
  <c r="M139" i="2"/>
  <c r="N138" i="2"/>
  <c r="M138" i="2"/>
  <c r="N137" i="2"/>
  <c r="M137" i="2"/>
  <c r="N136" i="2"/>
  <c r="M136" i="2"/>
  <c r="N135" i="2"/>
  <c r="M135" i="2"/>
  <c r="N134" i="2"/>
  <c r="M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N120" i="2"/>
  <c r="M120" i="2"/>
  <c r="N119" i="2"/>
  <c r="M119" i="2"/>
  <c r="N118" i="2"/>
  <c r="M118" i="2"/>
  <c r="N117" i="2"/>
  <c r="M117" i="2"/>
  <c r="N116" i="2"/>
  <c r="M116" i="2"/>
  <c r="N115" i="2"/>
  <c r="M115" i="2"/>
  <c r="N114" i="2"/>
  <c r="M114" i="2"/>
  <c r="N113" i="2"/>
  <c r="M113" i="2"/>
  <c r="N112" i="2"/>
  <c r="M112" i="2"/>
  <c r="N111" i="2"/>
  <c r="M111" i="2"/>
  <c r="N110" i="2"/>
  <c r="M110" i="2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4" i="2"/>
  <c r="M4" i="2"/>
  <c r="N3" i="2"/>
  <c r="M3" i="2"/>
  <c r="N2" i="2"/>
  <c r="M2" i="2"/>
</calcChain>
</file>

<file path=xl/sharedStrings.xml><?xml version="1.0" encoding="utf-8"?>
<sst xmlns="http://schemas.openxmlformats.org/spreadsheetml/2006/main" count="1419" uniqueCount="675">
  <si>
    <t>ID_Area</t>
  </si>
  <si>
    <t>Nombre_Area</t>
  </si>
  <si>
    <t>A01</t>
  </si>
  <si>
    <t>Planeamiento estratégico y desarrollo corporativo</t>
  </si>
  <si>
    <t>A02</t>
  </si>
  <si>
    <t>Dirección Creativa y Mkt Digital (Diseño/Audiovisual)</t>
  </si>
  <si>
    <t>A03</t>
  </si>
  <si>
    <t>Administración y Finanzas</t>
  </si>
  <si>
    <t>A04</t>
  </si>
  <si>
    <t>Bienestar y Cultura Organizacional</t>
  </si>
  <si>
    <t>A05</t>
  </si>
  <si>
    <t>Dirección comercial y Alianzas corporativas</t>
  </si>
  <si>
    <t>A06</t>
  </si>
  <si>
    <t>Planificación y desarrollo de empresa</t>
  </si>
  <si>
    <t>A07</t>
  </si>
  <si>
    <t>Gestión de calidad</t>
  </si>
  <si>
    <t>A08</t>
  </si>
  <si>
    <t>Operaciones</t>
  </si>
  <si>
    <t>A09</t>
  </si>
  <si>
    <t>Secretariado de Gerencia</t>
  </si>
  <si>
    <t>A10</t>
  </si>
  <si>
    <t>Estrategia Jurídica</t>
  </si>
  <si>
    <t>A11</t>
  </si>
  <si>
    <t>Dirección Creativa y Mkt Digital II (Marketing)</t>
  </si>
  <si>
    <t>A12</t>
  </si>
  <si>
    <t>Desarrollo y Programación Web</t>
  </si>
  <si>
    <t>A13</t>
  </si>
  <si>
    <t>Seguridad y Salud en el trabajo</t>
  </si>
  <si>
    <t>ID_KPI</t>
  </si>
  <si>
    <t>Nombre KPI</t>
  </si>
  <si>
    <t>Área</t>
  </si>
  <si>
    <t>Tipo_KPI</t>
  </si>
  <si>
    <t>S (Específico)</t>
  </si>
  <si>
    <t>M (Medible)</t>
  </si>
  <si>
    <t>A (Alcanzable)</t>
  </si>
  <si>
    <t>R (Relevante)</t>
  </si>
  <si>
    <t>T (Temporal)</t>
  </si>
  <si>
    <t>Unidad_Medida</t>
  </si>
  <si>
    <t>Meta_Trazada</t>
  </si>
  <si>
    <t>Resultado_Actual</t>
  </si>
  <si>
    <t>% Cumplimiento</t>
  </si>
  <si>
    <t>% Eficacia</t>
  </si>
  <si>
    <t>ID_Plan</t>
  </si>
  <si>
    <t>ID_KPI_Asociado</t>
  </si>
  <si>
    <t>Nombre de la Tarea</t>
  </si>
  <si>
    <t>Responsable</t>
  </si>
  <si>
    <t>Fecha_Inicio</t>
  </si>
  <si>
    <t>Fecha_Fin</t>
  </si>
  <si>
    <t>Estatus</t>
  </si>
  <si>
    <t>Espacio reservado para los Gráficos de Tablas Dinámicas (Insertar desde Excel)</t>
  </si>
  <si>
    <t>Inserta aquí tus Tablas Dinámicas apuntando a la pestaña 2_Metas</t>
  </si>
  <si>
    <t>Tasa de cumplimiento de objetivos estratégicos</t>
  </si>
  <si>
    <t>Positivo</t>
  </si>
  <si>
    <t>Incrementar o sostener el indicador de forma consistente, alineando la gestión con el propósito del área.</t>
  </si>
  <si>
    <t>(Número de objetivos cumplidos / Número de objetivos planificados) × 100.</t>
  </si>
  <si>
    <t>Evaluar eficacia de la planificación y ejecución, reforzando disciplina operativa y seguimiento.</t>
  </si>
  <si>
    <t>Permite identificar si se alcanzan metas.</t>
  </si>
  <si>
    <t>Metas 2026 por trimestre - Q1: 80%; Q2: 83.2%; Q3: 86.4%; Q4: 89.6%.</t>
  </si>
  <si>
    <t>%</t>
  </si>
  <si>
    <t>Nivel de riesgo en la ejecución de estrategias</t>
  </si>
  <si>
    <t>Negativo</t>
  </si>
  <si>
    <t>Reducir y controlar el indicador de forma consistente, alineando la gestión con el propósito del área.</t>
  </si>
  <si>
    <t>(Número de riesgos identificados / Número total de estrategias) × 100.</t>
  </si>
  <si>
    <t>Monitorear y gestionar riesgos, reforzando disciplina operativa y seguimiento.</t>
  </si>
  <si>
    <t>Ayuda a minimizar impactos.</t>
  </si>
  <si>
    <t>Metas 2026 por trimestre - Q1: 12%; Q2: 11.04%; Q3: 10.32%; Q4: 9.6%.</t>
  </si>
  <si>
    <t>Tasa de innovación en estrategias</t>
  </si>
  <si>
    <t>(Número de estrategias innovadoras / Número total de estrategias) × 100.</t>
  </si>
  <si>
    <t>Fomentar creatividad y nuevas prácticas, reforzando disciplina operativa y seguimiento.</t>
  </si>
  <si>
    <t>Permite mantener competitividad.</t>
  </si>
  <si>
    <t>Tiempo de implementación de estrategias</t>
  </si>
  <si>
    <t>Fecha de finalización − Fecha de inicio.</t>
  </si>
  <si>
    <t>Evaluar eficiencia en ejecución, reforzando disciplina operativa y seguimiento.</t>
  </si>
  <si>
    <t>Permite detectar cuellos de botella.</t>
  </si>
  <si>
    <t>Días</t>
  </si>
  <si>
    <t>Retorno sobre la inversión (ROI) de las estrategias</t>
  </si>
  <si>
    <t>(Beneficios obtenidos − Costo de la estrategia) / Costo de la estrategia × 100.</t>
  </si>
  <si>
    <t>Evaluar impacto financiero, reforzando disciplina operativa y seguimiento.</t>
  </si>
  <si>
    <t>Ayuda a justificar inversiones.</t>
  </si>
  <si>
    <t>Nivel de alineación entre KPI’s y objetivos estratégicos</t>
  </si>
  <si>
    <t>(Número de KPI’s alineados / Número total de KPI’s) × 100.</t>
  </si>
  <si>
    <t>Garantizar relevancia de la medición, reforzando disciplina operativa y seguimiento.</t>
  </si>
  <si>
    <t>Asegura coherencia estratégica.</t>
  </si>
  <si>
    <t>Número de talleres realizados por área</t>
  </si>
  <si>
    <t>Suma de talleres realizados por área.</t>
  </si>
  <si>
    <t>Promover capacitación, reforzando disciplina operativa y seguimiento.</t>
  </si>
  <si>
    <t>Mejora habilidades del equipo.</t>
  </si>
  <si>
    <t>#</t>
  </si>
  <si>
    <t>Tasa de participación en talleres</t>
  </si>
  <si>
    <t>(Número de asistentes / Número de invitados) × 100.</t>
  </si>
  <si>
    <t>Evaluar compromiso del personal, reforzando disciplina operativa y seguimiento.</t>
  </si>
  <si>
    <t>Permite identificar oportunidades de mejora.</t>
  </si>
  <si>
    <t>Número de KPI’s definidos por área</t>
  </si>
  <si>
    <t>Suma de KPI’s por área.</t>
  </si>
  <si>
    <t>Establecer métricas claras, reforzando disciplina operativa y seguimiento.</t>
  </si>
  <si>
    <t>Asegura medición alineada.</t>
  </si>
  <si>
    <t>Tiempo de respuesta a solicitudes de las áreas</t>
  </si>
  <si>
    <t>Suma de tiempos de respuesta / Número de solicitudes.</t>
  </si>
  <si>
    <t>Evaluar eficiencia en atención, reforzando disciplina operativa y seguimiento.</t>
  </si>
  <si>
    <t>Mejora productividad y satisfacción interna.</t>
  </si>
  <si>
    <t>Horas</t>
  </si>
  <si>
    <t>Tiempo de desarrollo de informes</t>
  </si>
  <si>
    <t>Cuantificar tiempo de desarrollo, reforzando disciplina operativa y seguimiento.</t>
  </si>
  <si>
    <t>Impacta satisfacción y productividad.</t>
  </si>
  <si>
    <t>Índice de estabilidad de metas estratégicas (KRAC)</t>
  </si>
  <si>
    <t>(Desviaciones negativas reducidas / Áreas volátiles) × 100.</t>
  </si>
  <si>
    <t>Adaptar metas a la realidad operativa, reforzando disciplina y seguimiento.</t>
  </si>
  <si>
    <t>Evita crisis de prioridades y asegura continuidad.</t>
  </si>
  <si>
    <t>Tiempo de ciclo de proyectos (WIP)</t>
  </si>
  <si>
    <t>((Fecha actual - Fecha inicio activos) / (Fecha entrega - Fecha inicio cerrados)) * 100.</t>
  </si>
  <si>
    <t>Dar trazabilidad y detectar cuellos de botella, reforzando disciplina operativa.</t>
  </si>
  <si>
    <t>Evita datos inválidos como “0 días”.</t>
  </si>
  <si>
    <t>Tasa de finalización a tiempo</t>
  </si>
  <si>
    <t>(Proyectos completados a tiempo / Total proyectos) × 100.</t>
  </si>
  <si>
    <t>Evaluar eficiencia en planificación, reforzando disciplina operativa y seguimiento.</t>
  </si>
  <si>
    <t>Clave para satisfacción del cliente.</t>
  </si>
  <si>
    <t>First Time Right (FTR)</t>
  </si>
  <si>
    <t>(Proyectos aprobados en primera revisión / Total proyectos) × 100.</t>
  </si>
  <si>
    <t>Reducir revisiones y mejorar claridad, reforzando disciplina operativa.</t>
  </si>
  <si>
    <t>Revisiones excesivas consumen tiempo.</t>
  </si>
  <si>
    <t>Satisfacción del cliente</t>
  </si>
  <si>
    <t>(Respuestas positivas / Total respuestas) × 100.</t>
  </si>
  <si>
    <t>Identificar áreas de mejora, reforzando disciplina operativa y seguimiento.</t>
  </si>
  <si>
    <t>Satisfacción alta aumenta lealtad.</t>
  </si>
  <si>
    <t>Costo por proyecto</t>
  </si>
  <si>
    <t>Costo total / Nº proyectos.</t>
  </si>
  <si>
    <t>Asegurar rentabilidad, reforzando disciplina operativa y seguimiento.</t>
  </si>
  <si>
    <t>Costos altos afectan sostenibilidad.</t>
  </si>
  <si>
    <t>S/</t>
  </si>
  <si>
    <t>Tasa de utilización de recursos</t>
  </si>
  <si>
    <t>(Horas trabajadas / Horas disponibles) × 100.</t>
  </si>
  <si>
    <t>Identificar si recursos están aprovechados, reforzando disciplina operativa.</t>
  </si>
  <si>
    <t>Baja utilización indica ineficiencia.</t>
  </si>
  <si>
    <t>Número de proyectos completados</t>
  </si>
  <si>
    <t>Suma de proyectos completados.</t>
  </si>
  <si>
    <t>Evaluar capacidad de entrega, reforzando disciplina operativa y seguimiento.</t>
  </si>
  <si>
    <t>Alto número indica eficiencia.</t>
  </si>
  <si>
    <t>Tasa de error en diseño</t>
  </si>
  <si>
    <t>(Errores / Total proyectos) × 100.</t>
  </si>
  <si>
    <t>Mejorar calidad y precisión, reforzando disciplina operativa y seguimiento.</t>
  </si>
  <si>
    <t>Errores dañan reputación.</t>
  </si>
  <si>
    <t>Engagement visual</t>
  </si>
  <si>
    <t>(Me gusta + Comentarios + Compartidas) / Nº seguidores × 100.</t>
  </si>
  <si>
    <t>Evaluar efectividad del contenido visual, reforzando disciplina operativa.</t>
  </si>
  <si>
    <t>Alto engagement aumenta visibilidad.</t>
  </si>
  <si>
    <t>Retorno de inversión en diseño (RODI)</t>
  </si>
  <si>
    <t>(Ganancia − Inversión) / Inversión × 100.</t>
  </si>
  <si>
    <t>Evaluar si los diseños generan valor económico, reforzando disciplina operativa.</t>
  </si>
  <si>
    <t>Diseños efectivos justifican inversión.</t>
  </si>
  <si>
    <t>Balance de carga por rol</t>
  </si>
  <si>
    <t>(% proyectos gráficos vs % audiovisuales por responsable).</t>
  </si>
  <si>
    <t>Mitigar riesgo de dependencia, reforzando disciplina operativa y seguimiento.</t>
  </si>
  <si>
    <t>Evita sobrecarga y volatilidad.</t>
  </si>
  <si>
    <t>KPI de tiempo no productivo</t>
  </si>
  <si>
    <t>(Horas externas aprobadas / Horas totales) × 100.</t>
  </si>
  <si>
    <t>Contabilizar ausentismo no programado, reforzando disciplina operativa.</t>
  </si>
  <si>
    <t>Permite calcular costo real de productividad.</t>
  </si>
  <si>
    <t>Eficiencia de registro documental</t>
  </si>
  <si>
    <t>Incrementar o sostener el indicador de forma consistente, alineando la gestión con el propósito.</t>
  </si>
  <si>
    <t>(Comprobantes procesados en &lt; 48h / Total de comprobantes recibidos) x 100.</t>
  </si>
  <si>
    <t>Registrar y organizar comprobantes, reforzando disciplina y seguimiento.</t>
  </si>
  <si>
    <t>Garantiza contabilidad al día, evitando retrasos en crédito fiscal.</t>
  </si>
  <si>
    <t>Índice de actualización del archivo</t>
  </si>
  <si>
    <t>(Carpetas contables con cierre al día / Total de carpetas contables) x 100.</t>
  </si>
  <si>
    <t>Controlar archivo contable mensual y mantenerlo actualizado.</t>
  </si>
  <si>
    <t>Facilita rápida ubicación ante auditorías o SUNAT.</t>
  </si>
  <si>
    <t>Precisión en bases tributarias y planillas</t>
  </si>
  <si>
    <t>Incrementar el indicador de forma consistente (Modificado para exactitud).</t>
  </si>
  <si>
    <t>(Bases entregadas sin observaciones / Total de bases preparadas) x 100.</t>
  </si>
  <si>
    <t>Preparar información base para declaraciones mensuales.</t>
  </si>
  <si>
    <t>Minimiza riesgo de multas y pagos indebidos.</t>
  </si>
  <si>
    <t>Oportunidad de conciliación bancaria</t>
  </si>
  <si>
    <t>(Cuentas conciliadas antes del día 5 / Total de cuentas gestionadas) x 100.</t>
  </si>
  <si>
    <t>Conciliar movimientos bancarios y reportar inconsistencias.</t>
  </si>
  <si>
    <t>Permite a gerencia ver liquidez real al inicio del periodo.</t>
  </si>
  <si>
    <t>Cumplimiento de reportes de flujo de caja</t>
  </si>
  <si>
    <t>(Reportes de flujo entregados en fecha / Total de reportes programados) x 100.</t>
  </si>
  <si>
    <t>Elaborar reportes de flujo de caja y proyecciones.</t>
  </si>
  <si>
    <t>Asegura información a tiempo para planificar inversiones.</t>
  </si>
  <si>
    <t>Nivel de aporte en evaluación de proyectos</t>
  </si>
  <si>
    <t>(Proyectos con datos financieros a tiempo / Total de proyectos) x 100.</t>
  </si>
  <si>
    <t>Participar en evaluación financiera, aportando datos.</t>
  </si>
  <si>
    <t>Agiliza visto bueno de inversiones, evitando riesgos a ciegas.</t>
  </si>
  <si>
    <t>Tasa de detección de desviaciones presupuestales</t>
  </si>
  <si>
    <t>(Alertas de sobregiro emitidas / Total de sobregiros reales) x 100.</t>
  </si>
  <si>
    <t>Colaborar en planificación y control de gastos.</t>
  </si>
  <si>
    <t>Fomenta cultura de ahorro y disciplina financiera.</t>
  </si>
  <si>
    <t>Soporte oportuno en indicadores de rentabilidad</t>
  </si>
  <si>
    <t>(Indicadores calculados sin retraso / Total de indicadores requeridos) x 100.</t>
  </si>
  <si>
    <t>Apoyar en elaboración de indicadores de margen y eficiencia.</t>
  </si>
  <si>
    <t>Transforma datos en métricas útiles para estrategias.</t>
  </si>
  <si>
    <t>Calidad de la base de datos de clientes y pagos</t>
  </si>
  <si>
    <t>(Registros auditados sin errores / Total de registros auditados) x 100.</t>
  </si>
  <si>
    <t>Actualizar base de datos de clientes y pagos.</t>
  </si>
  <si>
    <t>Evita cobrar doble o falta de gestión de cobranza.</t>
  </si>
  <si>
    <t>Índice de resolución de inconsistencias</t>
  </si>
  <si>
    <t>(Inconsistencias resueltas / Total de inconsistencias detectadas) x 100.</t>
  </si>
  <si>
    <t>Conciliar movimientos y reportar inconsistencias.</t>
  </si>
  <si>
    <t>Limpia contabilidad de partidas pendientes.</t>
  </si>
  <si>
    <t>Volumen de procesamiento documental diario</t>
  </si>
  <si>
    <t>(Comprobantes digitados en el día / Meta diaria de comprobantes) x 100.</t>
  </si>
  <si>
    <t>Registrar y organizar comprobantes diarios.</t>
  </si>
  <si>
    <t>Mantiene flujo de trabajo, aliviando carga del cierre.</t>
  </si>
  <si>
    <t>Tasa de integridad del archivo físico/digital</t>
  </si>
  <si>
    <t>(Documentos encontrados en &lt; 15 min / Total de documentos solicitados) x 100.</t>
  </si>
  <si>
    <t>Optimiza tiempo durante fiscalizaciones y auditorías.</t>
  </si>
  <si>
    <t>Puntualidad en la entrega de bases operativas</t>
  </si>
  <si>
    <t>(Bases enviadas antes de fecha de corte / Total de bases requeridas) x 100.</t>
  </si>
  <si>
    <t>Brinda tiempo de holgura para revisión y evita multas.</t>
  </si>
  <si>
    <t>Tasa de detección temprana de diferencias</t>
  </si>
  <si>
    <t>(Diferencias detectadas en &lt; 3 días / Total de diferencias reales) x 100.</t>
  </si>
  <si>
    <t>Facilita rastreo del origen del error.</t>
  </si>
  <si>
    <t>Margen de desviación en la proyección de egresos</t>
  </si>
  <si>
    <t>Reducir y controlar el indicador de forma consistente, alineando la gestión con el propósito.</t>
  </si>
  <si>
    <t>(Valor absoluto de [Egresos reales - Egresos proyectados] / Egresos reales) x 100.</t>
  </si>
  <si>
    <t>Afina capacidad predictiva de necesidades de financiamiento.</t>
  </si>
  <si>
    <t>Tiempo de respuesta a solicitudes de datos</t>
  </si>
  <si>
    <t>(Solicitudes atendidas en &lt; 24h / Total de solicitudes) x 100.</t>
  </si>
  <si>
    <t>Participar aportando datos financieros requeridos.</t>
  </si>
  <si>
    <t>Fomenta trabajo colaborativo ágil.</t>
  </si>
  <si>
    <t>Registro oportuno de gastos departamentales</t>
  </si>
  <si>
    <t>(Gastos registrados en &lt; 48h / Total de gastos por departamento) x 100.</t>
  </si>
  <si>
    <t>Colaborar en control de gastos por departamento.</t>
  </si>
  <si>
    <t>Evita sorpresas a fin de mes.</t>
  </si>
  <si>
    <t>Índice de calidad en la asistencia de indicadores</t>
  </si>
  <si>
    <t>(Reportes sin devoluciones / Total de reportes elaborados) x 100.</t>
  </si>
  <si>
    <t>Apoyar elaboración de indicadores de rentabilidad.</t>
  </si>
  <si>
    <t>Reduce cuellos de botella y reproceso.</t>
  </si>
  <si>
    <t>Frecuencia de actualización de cuentas por cobrar</t>
  </si>
  <si>
    <t>(Días con base actualizada / Total de días laborables) x 100.</t>
  </si>
  <si>
    <t>Actualizar base de datos de cobranza.</t>
  </si>
  <si>
    <t>Nutre a áreas comerciales sobre estado de clientes.</t>
  </si>
  <si>
    <t>Índice de retrabajo operativo contable</t>
  </si>
  <si>
    <t>(Asientos o tareas sin corrección / Total de tareas realizadas) x 100.</t>
  </si>
  <si>
    <t>Control transversal de funciones contables.</t>
  </si>
  <si>
    <t>Mide dominio de los procesos operativos.</t>
  </si>
  <si>
    <t>Tasa de rotación de personal</t>
  </si>
  <si>
    <t>(Bajas / promedio empleados) × 100.</t>
  </si>
  <si>
    <t>Identificar problemas de retención, reforzando disciplina y seguimiento.</t>
  </si>
  <si>
    <t>Alta rotación aumenta costos.</t>
  </si>
  <si>
    <t>Tiempo de contratación</t>
  </si>
  <si>
    <t>Fecha aceptación − Fecha postulación.</t>
  </si>
  <si>
    <t>Reducir tiempo para cubrir vacantes, reforzando disciplina y seguimiento.</t>
  </si>
  <si>
    <t>Tiempos prolongados generan sobrecarga.</t>
  </si>
  <si>
    <t>Costo por contratación</t>
  </si>
  <si>
    <t>(Costos reclutamiento + selección) / Nº contrataciones.</t>
  </si>
  <si>
    <t>Optimizar presupuesto, reforzando disciplina operativa y seguimiento.</t>
  </si>
  <si>
    <t>Costos altos afectan rentabilidad.</t>
  </si>
  <si>
    <t>Índice de satisfacción</t>
  </si>
  <si>
    <t>(Empleados satisfechos / Total empleados) × 100.</t>
  </si>
  <si>
    <t>Identificar áreas de mejora, reforzando disciplina y seguimiento.</t>
  </si>
  <si>
    <t>Satisfacción alta aumenta productividad.</t>
  </si>
  <si>
    <t>Tasa de ausentismo</t>
  </si>
  <si>
    <t>(Días ausencia / Días laborales totales) × 100.</t>
  </si>
  <si>
    <t>Detectar problemas de salud o desmotivación.</t>
  </si>
  <si>
    <t>Ausentismo afecta productividad.</t>
  </si>
  <si>
    <t>Ingresos por empleado</t>
  </si>
  <si>
    <t>Ingresos totales / Nº empleados.</t>
  </si>
  <si>
    <t>Identificar alto rendimiento, reforzando disciplina y seguimiento.</t>
  </si>
  <si>
    <t>Optimizar asignación de recursos.</t>
  </si>
  <si>
    <t>Tasa de retención de empleados</t>
  </si>
  <si>
    <t>[(Empleados fin − Nuevos) / Empleados inicio] × 100.</t>
  </si>
  <si>
    <t>Reducir costos y mantener conocimiento.</t>
  </si>
  <si>
    <t>Retención clave para crecimiento.</t>
  </si>
  <si>
    <t>Costo de capacitación por empleado</t>
  </si>
  <si>
    <t>Costo total capacitación / Nº empleados capacitados.</t>
  </si>
  <si>
    <t>Asegurar inversión rentable, reforzando disciplina y seguimiento.</t>
  </si>
  <si>
    <t>Capacitación aumenta eficiencia.</t>
  </si>
  <si>
    <t>Tasa de promoción interna</t>
  </si>
  <si>
    <t>(Promociones internas / Total empleados) × 100.</t>
  </si>
  <si>
    <t>Motivar empleados y reducir contratación externa.</t>
  </si>
  <si>
    <t>Promueve lealtad y reduce rotación.</t>
  </si>
  <si>
    <t>Ingresos por Ventas</t>
  </si>
  <si>
    <t>Nº clientes × Precio promedio de los servicios.</t>
  </si>
  <si>
    <t>Evaluar crecimiento, reforzando disciplina y seguimiento.</t>
  </si>
  <si>
    <t>Indicador principal de rentabilidad.</t>
  </si>
  <si>
    <t>Tasa de Cierre</t>
  </si>
  <si>
    <t>(Número de ventas realizadas / Número de leads) * 100.</t>
  </si>
  <si>
    <t>Identificar conversión, reforzando disciplina y seguimiento.</t>
  </si>
  <si>
    <t>Baja tasa indica problemas.</t>
  </si>
  <si>
    <t>Costo de Ventas</t>
  </si>
  <si>
    <t>Costos directos de mano de obra + Costos directos de operación.</t>
  </si>
  <si>
    <t>Asegurar que costos no superen ingresos.</t>
  </si>
  <si>
    <t>Mantener rentabilidad.</t>
  </si>
  <si>
    <t>Ticket Promedio</t>
  </si>
  <si>
    <t>Ingresos totales / número de ventas.</t>
  </si>
  <si>
    <t>Identificar oportunidades, reforzando disciplina y seguimiento.</t>
  </si>
  <si>
    <t>Ticket alto aumenta rentabilidad.</t>
  </si>
  <si>
    <t>Crecimiento de Ventas</t>
  </si>
  <si>
    <t>(Ventas actuales – Ventas anteriores) / Ventas anteriores × 100.</t>
  </si>
  <si>
    <t>Medir progreso, reforzando disciplina operativa.</t>
  </si>
  <si>
    <t>Crecimiento constante = sostenibilidad.</t>
  </si>
  <si>
    <t>Tiempo de ciclo de ventas</t>
  </si>
  <si>
    <t>Tiempo total desde el primer contacto hasta el cierre.</t>
  </si>
  <si>
    <t>Identificar cuellos de botella, reforzando disciplina operativa.</t>
  </si>
  <si>
    <t>Ciclo corto = eficiencia.</t>
  </si>
  <si>
    <t>Promedio de ciclo de ventas</t>
  </si>
  <si>
    <t>suma de las duraciones de ciclos / número total de clientes.</t>
  </si>
  <si>
    <t>Identificar tiempos de venta, reforzando disciplina operativa.</t>
  </si>
  <si>
    <t>Medición de eficiencia.</t>
  </si>
  <si>
    <t>Margen de beneficio bruto</t>
  </si>
  <si>
    <t>(Ingresos por ventas - Costo de ventas) / Ingresos por ventas * 100.</t>
  </si>
  <si>
    <t>Evaluar precios vs costos, reforzando disciplina operativa.</t>
  </si>
  <si>
    <t>Margen bajo = problema.</t>
  </si>
  <si>
    <t>Tasa de retención de clientes</t>
  </si>
  <si>
    <t>(Clientes al final del período - Nuevos) / Clientes al inicio * 100.</t>
  </si>
  <si>
    <t>Identificar fidelización, reforzando disciplina y seguimiento.</t>
  </si>
  <si>
    <t>Retener = más económico.</t>
  </si>
  <si>
    <t>Número de oportunidades en pipeline</t>
  </si>
  <si>
    <t>Suma de todas las oportunidades activas.</t>
  </si>
  <si>
    <t>Planificar recursos, reforzando disciplina operativa.</t>
  </si>
  <si>
    <t>Pipeline saludable = ingresos futuros.</t>
  </si>
  <si>
    <t>Satisfacción del cliente (CSAT)</t>
  </si>
  <si>
    <t>(Número de respuestas positivas / Total de respuestas) * 100.</t>
  </si>
  <si>
    <t>Identificar áreas de mejora, reforzando disciplina operativa.</t>
  </si>
  <si>
    <t>Clientes satisfechos recomiendan.</t>
  </si>
  <si>
    <t>Exactitud de los documentos (% errores)</t>
  </si>
  <si>
    <t>(Número de errores detectados / Número total de datos revisados) * 100.</t>
  </si>
  <si>
    <t>Mejorar calidad, reforzando disciplina operativa y seguimiento.</t>
  </si>
  <si>
    <t>Baja tasa de error = fiabilidad.</t>
  </si>
  <si>
    <t>Tiempo promedio de entrega de documentos</t>
  </si>
  <si>
    <t>Tiempos de entrega de todos los documentos / Número de documentos.</t>
  </si>
  <si>
    <t>Optimizar procesos, reforzando disciplina y seguimiento.</t>
  </si>
  <si>
    <t>Entrega oportuna = decisiones rápidas.</t>
  </si>
  <si>
    <t>Cantidad de documentos generados</t>
  </si>
  <si>
    <t>Nº documentos generados.</t>
  </si>
  <si>
    <t>Evaluar capacidad, reforzando disciplina operativa y seguimiento.</t>
  </si>
  <si>
    <t>Alto número = alta actividad.</t>
  </si>
  <si>
    <t>Uso o impacto de los documentos</t>
  </si>
  <si>
    <t>Número de decisiones comerciales influenciadas.</t>
  </si>
  <si>
    <t>Demostrar valor estratégico, reforzando disciplina operativa.</t>
  </si>
  <si>
    <t>Documentos que generan acción = valor.</t>
  </si>
  <si>
    <t>Porcentaje de documentos solicitados cumplidos</t>
  </si>
  <si>
    <t>(Documentos solicitados entregados / Total de documentos solicitados) * 100.</t>
  </si>
  <si>
    <t>Evaluar eficiencia, reforzando disciplina y seguimiento.</t>
  </si>
  <si>
    <t>Alto % = buena gestión.</t>
  </si>
  <si>
    <t>Cobertura de datos en documentos</t>
  </si>
  <si>
    <t>(Variables cubiertas / Número total de variables relevantes) * 100.</t>
  </si>
  <si>
    <t>Identificar brechas, reforzando disciplina operativa.</t>
  </si>
  <si>
    <t>Cobertura completa = análisis integral.</t>
  </si>
  <si>
    <t>Satisfacción del usuario con documentos</t>
  </si>
  <si>
    <t>Puntuación promedio de encuestas de satisfacción.</t>
  </si>
  <si>
    <t>Recopilar feedback, reforzando disciplina operativa.</t>
  </si>
  <si>
    <t>Usuarios satisfechos = documentos útiles.</t>
  </si>
  <si>
    <t>Pts</t>
  </si>
  <si>
    <t>Número de acciones derivadas de documentos</t>
  </si>
  <si>
    <t>Número de acciones tomadas a partir de la información.</t>
  </si>
  <si>
    <t>Demostrar influencia, reforzando disciplina operativa.</t>
  </si>
  <si>
    <t>Generan acción = valor práctico.</t>
  </si>
  <si>
    <t>Adherencia a estándares de formato</t>
  </si>
  <si>
    <t>(Documentos que cumplen estándares / Total revisados) * 100.</t>
  </si>
  <si>
    <t>Mejorar legibilidad, reforzando disciplina operativa.</t>
  </si>
  <si>
    <t>Uniformidad facilita interpretación.</t>
  </si>
  <si>
    <t>Índice de productividad semanal (IPS)</t>
  </si>
  <si>
    <t>Planificación y desarrollo empresa</t>
  </si>
  <si>
    <t>(Tareas ejecutadas / Tareas planificadas 3 días) x 100.</t>
  </si>
  <si>
    <t>Seguimiento semanal de metas trimestrales, reforzando disciplina.</t>
  </si>
  <si>
    <t>Asegura que el cumplimiento trimestral no se desvíe.</t>
  </si>
  <si>
    <t>Eficacia en reformulación de precios</t>
  </si>
  <si>
    <t>(Propuestas aprobadas / Total propuestas de precio) x 100.</t>
  </si>
  <si>
    <t>Análisis de márgenes y transformación de precios.</t>
  </si>
  <si>
    <t>Garantiza nuevos precios competitivos y rentables.</t>
  </si>
  <si>
    <t>Optimización de rutas comerciales</t>
  </si>
  <si>
    <t>(Rutas corregidas / Total rutas auditadas) x 100.</t>
  </si>
  <si>
    <t>Evaluar adecuación de rutas del equipo comercial.</t>
  </si>
  <si>
    <t>Maximiza alcance de ventas y reduce tiempos improductivos.</t>
  </si>
  <si>
    <t>Sustentación de recaudo y margen</t>
  </si>
  <si>
    <t>(Servicios con margen real ≥ Proyectado / Total servicios) x 100.</t>
  </si>
  <si>
    <t>Investigación de mercado y análisis de rentabilidad.</t>
  </si>
  <si>
    <t>Evita pérdidas por precios mal calculados.</t>
  </si>
  <si>
    <t>Adopción de mejoras y transformación</t>
  </si>
  <si>
    <t>(Mejoras implementadas / Documentos presentados) x 100.</t>
  </si>
  <si>
    <t>Elaborar documentos de mejora y reforma salarial.</t>
  </si>
  <si>
    <t>Transforma ideas de planificación en cambios reales.</t>
  </si>
  <si>
    <t>Calidad de documentación técnica</t>
  </si>
  <si>
    <t>(Documentos aprobados en 1ra revisión / Total entregados) x 100.</t>
  </si>
  <si>
    <t>Elaboración de reportes de gestión y manuales.</t>
  </si>
  <si>
    <t>Evita retrabajo y garantiza información confiable.</t>
  </si>
  <si>
    <t>Tesis y Proyectos sin Observaciones</t>
  </si>
  <si>
    <t>(Tesis aprobadas sin correcciones / Total revisados) x 100.</t>
  </si>
  <si>
    <t>Validar coherencia científica y rigor académico.</t>
  </si>
  <si>
    <t>Asegura trabajo listo para sustentación, evitando rechazos.</t>
  </si>
  <si>
    <t>Documentos Libres de Errores</t>
  </si>
  <si>
    <t>(Doc. aprobados por ortografía / Total revisados) x 100.</t>
  </si>
  <si>
    <t>Detectar y corregir fallas de puntuación y sintaxis.</t>
  </si>
  <si>
    <t>Protege la imagen profesional de la marca.</t>
  </si>
  <si>
    <t>Alineación Exacta con lo que Pidió el Cliente</t>
  </si>
  <si>
    <t>(Entregables que cumplen 100% requerimiento / Total revisados) x 100.</t>
  </si>
  <si>
    <t>Comparar el contenido final contra el contrato o brief.</t>
  </si>
  <si>
    <t>Previene quejas y devoluciones operativas.</t>
  </si>
  <si>
    <t>Aprobación Impecable de Publicidad</t>
  </si>
  <si>
    <t>(Materiales sin ambigüedades / Total revisados) x 100.</t>
  </si>
  <si>
    <t>Revisar post y flyers antes de publicación.</t>
  </si>
  <si>
    <t>Evita riesgos reputacionales en redes sociales.</t>
  </si>
  <si>
    <t>Uso Obligatorio de Checklist</t>
  </si>
  <si>
    <t>Incrementar o sostener el indicador de forma consistente, alineando la gestión.</t>
  </si>
  <si>
    <t>(Entregables revisados con checklist / Total liberados) x 100.</t>
  </si>
  <si>
    <t>Estandarizar la revisión final para no omitir auditoría.</t>
  </si>
  <si>
    <t>Seguro de calidad auditable de la consultora.</t>
  </si>
  <si>
    <t>Velocidad de Retorno de Revisiones</t>
  </si>
  <si>
    <t>(Revisiones en &lt; 24h / Total solicitadas) x 100.</t>
  </si>
  <si>
    <t>Evitar cuellos de botella en Calidad.</t>
  </si>
  <si>
    <t>Asegura que el cliente reciba producto en fecha prometida.</t>
  </si>
  <si>
    <t>Eficacia de registro operativo</t>
  </si>
  <si>
    <t>(Solicitudes registradas &lt; 24h / Total solics. recibidas) x 100.</t>
  </si>
  <si>
    <t>Registro y seguimiento en sistema, reforzando disciplina.</t>
  </si>
  <si>
    <t>Garantiza trazabilidad y evita olvidos.</t>
  </si>
  <si>
    <t>Tasa de viabilidad confirmada</t>
  </si>
  <si>
    <t>(Servicios validados con Comercial / Total servicios consultados) x 100.</t>
  </si>
  <si>
    <t>Coordinar viabilidad operativa con Comercial.</t>
  </si>
  <si>
    <t>Reduce cancelaciones y reclamos de clientes.</t>
  </si>
  <si>
    <t>Eficacia de asignación de recursos</t>
  </si>
  <si>
    <t>(Servicios con personal asignado &lt; 48h / Total servicios) x 100.</t>
  </si>
  <si>
    <t>Verificar disponibilidad y asignar personal, reforzando disciplina.</t>
  </si>
  <si>
    <t>Previene retrasos y sobrecarga laboral.</t>
  </si>
  <si>
    <t>Cumplimiento de cronograma OTD</t>
  </si>
  <si>
    <t>(Servicios finalizados en fecha / Total servicios programados) x 100.</t>
  </si>
  <si>
    <t>Supervisar el cumplimiento de plazos y cronogramas.</t>
  </si>
  <si>
    <t>Impacta directamente en satisfacción y fidelización.</t>
  </si>
  <si>
    <t>Oportunidad de reportes e indicadores</t>
  </si>
  <si>
    <t>(Reportes presentados a tiempo / Total programados) x 100.</t>
  </si>
  <si>
    <t>Elaborar y presentar reportes de gestión.</t>
  </si>
  <si>
    <t>Permite toma de decisiones basada en datos reales.</t>
  </si>
  <si>
    <t>Índice de proactividad en procesos</t>
  </si>
  <si>
    <t>(Mejoras implementadas / Mejoras propuestas) x 100.</t>
  </si>
  <si>
    <t>Identificar y ejecutar optimizaciones en el flujo operativo.</t>
  </si>
  <si>
    <t>Incrementa rentabilidad y reduce errores.</t>
  </si>
  <si>
    <t>Tasa de cero fallos en coordinación ejecutiva</t>
  </si>
  <si>
    <t>(Número de eventos sin fallos / Total de eventos clave) × 100.</t>
  </si>
  <si>
    <t>Evitar errores logísticos, reforzando disciplina y seguimiento.</t>
  </si>
  <si>
    <t>Impacto directo en productividad ejecutiva.</t>
  </si>
  <si>
    <t>Mensajes positivos de LinkedIn</t>
  </si>
  <si>
    <t>Mensajes positivos = Mensajes recibidos – (Neutrales + Negativos).</t>
  </si>
  <si>
    <t>Mantener reputación profesional, reforzando disciplina y seguimiento.</t>
  </si>
  <si>
    <t>Impacto en networking y marca.</t>
  </si>
  <si>
    <t>Conversión de mensajes positivos en leads</t>
  </si>
  <si>
    <t>(Mensajes positivos convertidos en leads / Total positivos) × 100.</t>
  </si>
  <si>
    <t>Derivar oportunidades a Comercial, reforzando disciplina.</t>
  </si>
  <si>
    <t>Valor estratégico del contacto.</t>
  </si>
  <si>
    <t>Tiempo total desde la apertura hasta el cierre</t>
  </si>
  <si>
    <t>Reducir y controlar el indicador de forma consistente, alineando la gestión.</t>
  </si>
  <si>
    <t>Fecha cierre − Fecha apertura.</t>
  </si>
  <si>
    <t>Mejorar eficiencia del área legal, reforzando disciplina.</t>
  </si>
  <si>
    <t>Tiempos prolongados generan costos.</t>
  </si>
  <si>
    <t>Costo por caso legal</t>
  </si>
  <si>
    <t>Costo total legal / Número de casos.</t>
  </si>
  <si>
    <t>Asegurar sostenibilidad de costos, reforzando disciplina.</t>
  </si>
  <si>
    <t>Tasa de cumplimiento</t>
  </si>
  <si>
    <t>(Número de casos cumplidos / Total de casos) * 100.</t>
  </si>
  <si>
    <t>Evitar sanciones y multas, reforzando disciplina.</t>
  </si>
  <si>
    <t>Incumplimiento daña reputación.</t>
  </si>
  <si>
    <t>Número de litigios activos</t>
  </si>
  <si>
    <t>Suma de casos activos.</t>
  </si>
  <si>
    <t>Planificar recursos y estrategias, reforzando disciplina.</t>
  </si>
  <si>
    <t>Alto número indica riesgos legales.</t>
  </si>
  <si>
    <t>Tasa de éxito en litigios</t>
  </si>
  <si>
    <t>(Número de casos ganados / Total de casos) * 100.</t>
  </si>
  <si>
    <t>Evaluar capacidad de defensa, reforzando disciplina.</t>
  </si>
  <si>
    <t>Bajo éxito indica problemas.</t>
  </si>
  <si>
    <t>Tiempo de revisión de contratos</t>
  </si>
  <si>
    <t>Tiempo total desde la recepción hasta la aprobación.</t>
  </si>
  <si>
    <t>Agilizar procesos comerciales, reforzando disciplina.</t>
  </si>
  <si>
    <t>Retrasos afectan negocios.</t>
  </si>
  <si>
    <t>Tiempo de revisión de casos</t>
  </si>
  <si>
    <t>Tiempo total que se le dedica al caso por día.</t>
  </si>
  <si>
    <t>Monitorear dedicación diaria, reforzando disciplina.</t>
  </si>
  <si>
    <t>Incrementa seriedad y éxito en la defensa.</t>
  </si>
  <si>
    <t>Número de artículos realizados</t>
  </si>
  <si>
    <t>Suma de artículos realizados.</t>
  </si>
  <si>
    <t>Monitorear producción académica, reforzando disciplina.</t>
  </si>
  <si>
    <t>Demuestra capacidad de investigación.</t>
  </si>
  <si>
    <t>Satisfacción del material legal en redes sociales</t>
  </si>
  <si>
    <t>Número de likes del contenido del área legal.</t>
  </si>
  <si>
    <t>Monitorear si publicaciones son del agrado del público.</t>
  </si>
  <si>
    <t>Buen recibimiento refleja calidad.</t>
  </si>
  <si>
    <t>Costo de cumplimiento normativo</t>
  </si>
  <si>
    <t>Suma de todos los costos de cumplimiento.</t>
  </si>
  <si>
    <t>Asegurar cumplimiento regulatorio, reforzando disciplina.</t>
  </si>
  <si>
    <t>Incumplimiento genera multas.</t>
  </si>
  <si>
    <t>Número de consultas legales</t>
  </si>
  <si>
    <t>Suma de consultas legales atendidas.</t>
  </si>
  <si>
    <t>Planificar recursos y capacitación, reforzando disciplina.</t>
  </si>
  <si>
    <t>Atención oportuna mitiga riesgos.</t>
  </si>
  <si>
    <t>Tasa de renovación de contratos</t>
  </si>
  <si>
    <t>(Número de renovaciones / Total de contratos) * 100.</t>
  </si>
  <si>
    <t>Evaluar calidad de relaciones comerciales.</t>
  </si>
  <si>
    <t>Baja renovación indica insatisfacción.</t>
  </si>
  <si>
    <t>Índice de riesgo legal</t>
  </si>
  <si>
    <t>(Riesgos identificados / Total de áreas evaluadas) * 100.</t>
  </si>
  <si>
    <t>Identificar áreas de mejora, reforzando disciplina.</t>
  </si>
  <si>
    <t>Alto riesgo afecta estabilidad.</t>
  </si>
  <si>
    <t>Productividad de tareas completadas</t>
  </si>
  <si>
    <t>(Tareas Completadas / Número de tareas asignadas) * 100.</t>
  </si>
  <si>
    <t>Evaluar desempeño y optimizar recursos.</t>
  </si>
  <si>
    <t>Mejora procesos y asegura cumplimiento.</t>
  </si>
  <si>
    <t>Indicador de investigación de normas internacionales</t>
  </si>
  <si>
    <t>(Normas investigadas / Número de normas requeridas) * 100.</t>
  </si>
  <si>
    <t>Garantizar cumplimiento global, reforzando disciplina.</t>
  </si>
  <si>
    <t>Reduce riesgos legales y evita sanciones.</t>
  </si>
  <si>
    <t>Indicador de presentaciones de informes ejecutivos</t>
  </si>
  <si>
    <t>(Informes presentados / Número de informes requeridos) * 100.</t>
  </si>
  <si>
    <t>Asegurar información precisa para decisiones.</t>
  </si>
  <si>
    <t>Facilita decisiones estratégicas y transparencia.</t>
  </si>
  <si>
    <t>Eficacia operativa y de cumplimiento</t>
  </si>
  <si>
    <t>((Casos cumplidos + Tareas) / (Total casos + Tareas)) * 100.</t>
  </si>
  <si>
    <t>Evaluar cumplimiento normativo y eficiencia operativa.</t>
  </si>
  <si>
    <t>Visión holística del desempeño del área.</t>
  </si>
  <si>
    <t>ROI (Retorno de inversión)</t>
  </si>
  <si>
    <t>Dirección Creativa y Marketing Digital II</t>
  </si>
  <si>
    <t>Evaluar si las inversiones generan ganancias reales.</t>
  </si>
  <si>
    <t>Clave para asignar presupuesto y justificar inversión.</t>
  </si>
  <si>
    <t>Costo por lead (CPL)</t>
  </si>
  <si>
    <t>Costo total campaña / Nº leads.</t>
  </si>
  <si>
    <t>Medir eficiencia de captación, reforzando disciplina.</t>
  </si>
  <si>
    <t>Impacta la rentabilidad y el CAC.</t>
  </si>
  <si>
    <t>Tasa de conversión</t>
  </si>
  <si>
    <t>(Conversiones / Personas impactadas) × 100.</t>
  </si>
  <si>
    <t>Medir efectividad del funnel, reforzando disciplina.</t>
  </si>
  <si>
    <t>Determina impacto real en ventas.</t>
  </si>
  <si>
    <t>Costo por adquisición (CAC)</t>
  </si>
  <si>
    <t>(Marketing + Ventas) / Nº clientes adquiridos.</t>
  </si>
  <si>
    <t>Medir costo real de adquisición, reforzando disciplina.</t>
  </si>
  <si>
    <t>Impacta salud financiera.</t>
  </si>
  <si>
    <t>Tasa de apertura</t>
  </si>
  <si>
    <t>(Aperturas / Envíos) × 100.</t>
  </si>
  <si>
    <t>Medir interés en mensajes, reforzando disciplina.</t>
  </si>
  <si>
    <t>Segmentación y asunto efectivos.</t>
  </si>
  <si>
    <t>Tasa de clics (CTR)</t>
  </si>
  <si>
    <t>(Clics / Impresiones) × 100.</t>
  </si>
  <si>
    <t>Medir atractivo de anuncios, reforzando disciplina.</t>
  </si>
  <si>
    <t>Tráfico sin costo adicional por clic.</t>
  </si>
  <si>
    <t>Valor de vida del cliente (LTV)</t>
  </si>
  <si>
    <t>Ingresos promedio × Duración relación.</t>
  </si>
  <si>
    <t>Medir rentabilidad de clientes, reforzando disciplina.</t>
  </si>
  <si>
    <t>Justifica inversión en retención.</t>
  </si>
  <si>
    <t>Tasa de rebote</t>
  </si>
  <si>
    <t>Reducir y controlar el indicador de forma consistente (Modificado para exactitud).</t>
  </si>
  <si>
    <t>(Rebotes / Visitas) × 100.</t>
  </si>
  <si>
    <t>Medir calidad del tráfico, reforzando disciplina.</t>
  </si>
  <si>
    <t>Indica relevancia y UX.</t>
  </si>
  <si>
    <t>Engagement en redes sociales</t>
  </si>
  <si>
    <t>(Me gusta + Comentarios + Compartidas) / Seguidores × 100.</t>
  </si>
  <si>
    <t>Medir interacción con la marca, reforzando disciplina.</t>
  </si>
  <si>
    <t>Impacta visibilidad y lealtad.</t>
  </si>
  <si>
    <t>Share of voice (SOV)</t>
  </si>
  <si>
    <t>(Menciones marca / Total menciones mercado) × 100.</t>
  </si>
  <si>
    <t>Medir visibilidad frente a competencia, reforzando disciplina.</t>
  </si>
  <si>
    <t>Determina influencia de la marca.</t>
  </si>
  <si>
    <t>Tiempo promedio de respuesta</t>
  </si>
  <si>
    <t>Tiempo total / Nº interacciones.</t>
  </si>
  <si>
    <t>Medir rapidez en atención, reforzando disciplina.</t>
  </si>
  <si>
    <t>Mejora fidelización y conversión.</t>
  </si>
  <si>
    <t>Minutos</t>
  </si>
  <si>
    <t>Productividad en contenido</t>
  </si>
  <si>
    <t>Nº piezas / Horas trabajadas.</t>
  </si>
  <si>
    <t>Medir eficiencia ponderada, reforzando disciplina.</t>
  </si>
  <si>
    <t>Valora complejidad.</t>
  </si>
  <si>
    <t>#/Hora</t>
  </si>
  <si>
    <t>Tasa de finalización de tareas</t>
  </si>
  <si>
    <t>(Tareas completadas / Tareas asignadas) × 100.</t>
  </si>
  <si>
    <t>Medir cumplimiento de deadlines, reforzando disciplina.</t>
  </si>
  <si>
    <t>Señala eficiencia operativa.</t>
  </si>
  <si>
    <t>Participación en capacitaciones</t>
  </si>
  <si>
    <t>(Capacitaciones completadas / Total ofrecidas) × 100.</t>
  </si>
  <si>
    <t>Medir compromiso con aprendizaje, reforzando disciplina.</t>
  </si>
  <si>
    <t>Mejora continua del equipo.</t>
  </si>
  <si>
    <t>Eficiencia en gestión de campañas</t>
  </si>
  <si>
    <t>Nº campañas / Tiempo planeación.</t>
  </si>
  <si>
    <t>Optimizar lanzamiento, reforzando disciplina.</t>
  </si>
  <si>
    <t>Reduce tiempos muertos.</t>
  </si>
  <si>
    <t>Retención de seguidores</t>
  </si>
  <si>
    <t>(Seguidores fin − Nuevos) / Seguidores inicio × 100.</t>
  </si>
  <si>
    <t>Medir capacidad de mantener audiencia, reforzando disciplina.</t>
  </si>
  <si>
    <t>Señala relevancia del contenido.</t>
  </si>
  <si>
    <t>Contribución a ideas innovadoras</t>
  </si>
  <si>
    <t>Nº ideas implementadas.</t>
  </si>
  <si>
    <t>Fomentar creatividad aplicada, reforzando disciplina.</t>
  </si>
  <si>
    <t>Mejora procesos y diferenciación.</t>
  </si>
  <si>
    <t>Tasa de errores en publicaciones</t>
  </si>
  <si>
    <t>(Errores / Publicaciones) × 100.</t>
  </si>
  <si>
    <t>Garantizar calidad del contenido, reforzando disciplina.</t>
  </si>
  <si>
    <t>Evitar daño a imagen de marca.</t>
  </si>
  <si>
    <t>Satisfacción interna del equipo</t>
  </si>
  <si>
    <t>Encuesta (1–10) promedio.</t>
  </si>
  <si>
    <t>Medir clima y motivación, reforzando disciplina.</t>
  </si>
  <si>
    <t>Productividad y retención.</t>
  </si>
  <si>
    <t>Eficacia en monitoreo de competencia</t>
  </si>
  <si>
    <t>(Insights útiles / Horas invertidas).</t>
  </si>
  <si>
    <t>Evaluar calidad de investigación, reforzando disciplina.</t>
  </si>
  <si>
    <t>Ajusta estrategia con datos.</t>
  </si>
  <si>
    <t>Posicionamiento Keywords</t>
  </si>
  <si>
    <t>Ranking en Google para keywords clave.</t>
  </si>
  <si>
    <t>Medir visibilidad orgánica real, reforzando disciplina.</t>
  </si>
  <si>
    <t>Impacta adquisición de clientes y leads.</t>
  </si>
  <si>
    <t>Posición</t>
  </si>
  <si>
    <t>Velocidad de Carga</t>
  </si>
  <si>
    <t>PageSpeed Insights (0–100).</t>
  </si>
  <si>
    <t>Evaluar rendimiento técnico, reforzando disciplina.</t>
  </si>
  <si>
    <t>Afecta SEO, UX y conversión.</t>
  </si>
  <si>
    <t>Tasa de Rebote</t>
  </si>
  <si>
    <t>(Sesiones de 1 página / Total sesiones) × 100.</t>
  </si>
  <si>
    <t>Medir retención y relevancia, reforzando disciplina.</t>
  </si>
  <si>
    <t>Indica calidad de contenido y UX.</t>
  </si>
  <si>
    <t>Errores 404</t>
  </si>
  <si>
    <t>Nº de páginas con error 404.</t>
  </si>
  <si>
    <t>Salud técnica del sitio, reforzando disciplina.</t>
  </si>
  <si>
    <t>Evita penalización SEO y mala UX.</t>
  </si>
  <si>
    <t>CTR en Google</t>
  </si>
  <si>
    <t>(Clicks orgánicos / Impresiones) × 100.</t>
  </si>
  <si>
    <t>Medir atractivo en resultados, reforzando disciplina.</t>
  </si>
  <si>
    <t>Aumenta tráfico sin costo.</t>
  </si>
  <si>
    <t>Mobile-Friendliness</t>
  </si>
  <si>
    <t>% Test Mobile-Friendly de Google.</t>
  </si>
  <si>
    <t>Garantizar experiencia en móviles, reforzando disciplina.</t>
  </si>
  <si>
    <t>Google prioriza sitios mobile.</t>
  </si>
  <si>
    <t>Conversión de Contacto</t>
  </si>
  <si>
    <t>(Formularios enviados / Visitas a “Contacto”) × 100.</t>
  </si>
  <si>
    <t>Medir generación de leads, reforzando disciplina.</t>
  </si>
  <si>
    <t>Convierte tráfico en oportunidades.</t>
  </si>
  <si>
    <t>Actualización de Contenido</t>
  </si>
  <si>
    <t>Nº publicaciones nuevas por mes.</t>
  </si>
  <si>
    <t>Mantener sitio fresco y relevante, reforzando disciplina.</t>
  </si>
  <si>
    <t>Mejora SEO y engagement.</t>
  </si>
  <si>
    <t>Uso de Imágenes Optimizadas</t>
  </si>
  <si>
    <t>% imágenes con ALT y compresión.</t>
  </si>
  <si>
    <t>Asegurar velocidad y accesibilidad, reforzando disciplina.</t>
  </si>
  <si>
    <t>Impacto en SEO on-page y UX.</t>
  </si>
  <si>
    <t>Tiempo en Página</t>
  </si>
  <si>
    <t>Promedio de tiempo en página (segundos).</t>
  </si>
  <si>
    <t>Medir interés y calidad de contenido, reforzando disciplina.</t>
  </si>
  <si>
    <t>Señal directa de engagement.</t>
  </si>
  <si>
    <t>Segundos</t>
  </si>
  <si>
    <t>Cumplimiento normativo SST remoto</t>
  </si>
  <si>
    <t>(Documentos obligatorios actualizados / Documentos obligatorios totales) × 100.</t>
  </si>
  <si>
    <t>Mantener documentos vigentes, reforzando disciplina.</t>
  </si>
  <si>
    <t>Evita sanciones.</t>
  </si>
  <si>
    <t>Tasa de cero fallos en agenda del Comité SST</t>
  </si>
  <si>
    <t>(Reuniones realizadas sin fallos / Reuniones programadas) × 100.</t>
  </si>
  <si>
    <t>Garantizar reuniones sin errores, reforzando disciplina.</t>
  </si>
  <si>
    <t>Refuerza gobernanza.</t>
  </si>
  <si>
    <t>Cumplimiento de recomendaciones ergonómicas</t>
  </si>
  <si>
    <t>(Colaboradores que aplican / Colaboradores evaluados) × 100.</t>
  </si>
  <si>
    <t>Verificar implementación, reforzando disciplina.</t>
  </si>
  <si>
    <t>Previene molestias.</t>
  </si>
  <si>
    <t>Índice de incidentes reportados</t>
  </si>
  <si>
    <t>(Incidentes / Colaboradores) × 100.</t>
  </si>
  <si>
    <t>Activar acciones preventivas, reforzando disciplina.</t>
  </si>
  <si>
    <t>Detecta problemas tempranos.</t>
  </si>
  <si>
    <t>Accidentes laborales en teletrabajo</t>
  </si>
  <si>
    <t>(Accidentes en domicilio / Total de colaboradores) × 100.</t>
  </si>
  <si>
    <t>Activar protocolos y reportes, reforzando disciplina.</t>
  </si>
  <si>
    <t>Protege salud ocupacional.</t>
  </si>
  <si>
    <t>Cobertura de capacitaciones SST</t>
  </si>
  <si>
    <t>(Colaboradores capacitados / Colaboradores totales) × 100.</t>
  </si>
  <si>
    <t>Asegurar formación preventiva, reforzando disciplina.</t>
  </si>
  <si>
    <t>Refuerza cultura preventiva.</t>
  </si>
  <si>
    <t>Participación en pausas activas</t>
  </si>
  <si>
    <t>(Colaboradores que participan / Colaboradores convocados) × 100.</t>
  </si>
  <si>
    <t>Promover hábitos saludables, reforzando disciplina.</t>
  </si>
  <si>
    <t>Reduce riesgos psicosociales.</t>
  </si>
  <si>
    <t>Nivel de comunicación preventiva</t>
  </si>
  <si>
    <t>(Mensajes difundidos / Mensajes planificados) × 100.</t>
  </si>
  <si>
    <t>Asegurar llegada de mensajes preventivos.</t>
  </si>
  <si>
    <t>Índice de riesgos psicosociales</t>
  </si>
  <si>
    <t>(Colaboradores con riesgo alto / Total encuestados) × 100.</t>
  </si>
  <si>
    <t>Detectar estrés y sobrecarga, reforzando disciplina.</t>
  </si>
  <si>
    <t>Permite acciones de bienestar.</t>
  </si>
  <si>
    <t>Cumplimiento del Plan Anual SST</t>
  </si>
  <si>
    <t>(Actividades ejecutadas / Actividades planificadas) × 100.</t>
  </si>
  <si>
    <t>Monitorear ejecución programada, reforzando disciplina.</t>
  </si>
  <si>
    <t>Asegura mejora continua.</t>
  </si>
  <si>
    <t>Innovación digital aplicada a SST</t>
  </si>
  <si>
    <t>(Herramientas implementadas / Herramientas planificadas) × 100.</t>
  </si>
  <si>
    <t>Incorporar herramientas y recursos, reforzando disciplina.</t>
  </si>
  <si>
    <t>Moderniza y facilita prevención.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</si>
</sst>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showGridLines="0" workbookViewId="0">
      <selection activeCell="B48" sqref="B48"/>
    </sheetView>
  </sheetViews>
  <sheetFormatPr baseColWidth="10" defaultColWidth="9.140625" defaultRowHeight="15" x14ac:dyDescent="0.25"/>
  <cols>
    <col min="1" max="1" width="10.7109375" customWidth="1"/>
    <col min="2" max="2" width="5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3"/>
  <sheetViews>
    <sheetView showGridLines="0" tabSelected="1" topLeftCell="A79" zoomScaleNormal="100" workbookViewId="0">
      <selection activeCell="B59" sqref="B59"/>
    </sheetView>
  </sheetViews>
  <sheetFormatPr baseColWidth="10" defaultColWidth="9.140625" defaultRowHeight="15" x14ac:dyDescent="0.25"/>
  <cols>
    <col min="1" max="1" width="6.7109375" bestFit="1" customWidth="1"/>
    <col min="2" max="2" width="50.28515625" bestFit="1" customWidth="1"/>
    <col min="3" max="3" width="48.7109375" bestFit="1" customWidth="1"/>
    <col min="4" max="4" width="9" bestFit="1" customWidth="1"/>
    <col min="5" max="5" width="95.5703125" bestFit="1" customWidth="1"/>
    <col min="6" max="6" width="69.5703125" bestFit="1" customWidth="1"/>
    <col min="7" max="7" width="85.42578125" bestFit="1" customWidth="1"/>
    <col min="8" max="8" width="44.5703125" bestFit="1" customWidth="1"/>
    <col min="9" max="9" width="63.28515625" bestFit="1" customWidth="1"/>
    <col min="10" max="10" width="15.28515625" style="4" bestFit="1" customWidth="1"/>
    <col min="11" max="11" width="13.42578125" bestFit="1" customWidth="1"/>
    <col min="12" max="12" width="16.5703125" bestFit="1" customWidth="1"/>
    <col min="13" max="13" width="15.7109375" customWidth="1"/>
    <col min="14" max="14" width="9.5703125" bestFit="1" customWidth="1"/>
  </cols>
  <sheetData>
    <row r="1" spans="1:14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</row>
    <row r="2" spans="1:14" x14ac:dyDescent="0.25">
      <c r="A2">
        <v>1.1000000000000001</v>
      </c>
      <c r="B2" t="s">
        <v>51</v>
      </c>
      <c r="C2" t="s">
        <v>3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s="4" t="s">
        <v>58</v>
      </c>
      <c r="K2">
        <v>80</v>
      </c>
      <c r="L2">
        <v>80</v>
      </c>
      <c r="M2" s="2">
        <f t="shared" ref="M2:M13" si="0">IFERROR(IF(D2="Positivo", L2/K2, IF(L2&lt;=K2, 1, K2/L2)), 0)</f>
        <v>1</v>
      </c>
      <c r="N2" s="2">
        <f t="shared" ref="N2:N13" si="1">IFERROR(IF(D2="Positivo", IF(L2&gt;=K2, 1, L2/K2), IF(L2&lt;=K2, 1, 0)), 0)</f>
        <v>1</v>
      </c>
    </row>
    <row r="3" spans="1:14" x14ac:dyDescent="0.25">
      <c r="A3">
        <v>1.2</v>
      </c>
      <c r="B3" t="s">
        <v>59</v>
      </c>
      <c r="C3" t="s">
        <v>3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t="s">
        <v>65</v>
      </c>
      <c r="J3" s="4" t="s">
        <v>58</v>
      </c>
      <c r="K3">
        <v>10</v>
      </c>
      <c r="L3">
        <v>20</v>
      </c>
      <c r="M3" s="2">
        <f t="shared" si="0"/>
        <v>0.5</v>
      </c>
      <c r="N3" s="2">
        <f t="shared" si="1"/>
        <v>0</v>
      </c>
    </row>
    <row r="4" spans="1:14" x14ac:dyDescent="0.25">
      <c r="A4">
        <v>1.3</v>
      </c>
      <c r="B4" t="s">
        <v>66</v>
      </c>
      <c r="C4" t="s">
        <v>3</v>
      </c>
      <c r="D4" t="s">
        <v>52</v>
      </c>
      <c r="E4" t="s">
        <v>53</v>
      </c>
      <c r="F4" t="s">
        <v>67</v>
      </c>
      <c r="G4" t="s">
        <v>68</v>
      </c>
      <c r="H4" t="s">
        <v>69</v>
      </c>
      <c r="I4" t="s">
        <v>57</v>
      </c>
      <c r="J4" s="4" t="s">
        <v>58</v>
      </c>
      <c r="K4">
        <v>80</v>
      </c>
      <c r="L4">
        <v>70</v>
      </c>
      <c r="M4" s="2">
        <f t="shared" si="0"/>
        <v>0.875</v>
      </c>
      <c r="N4" s="2">
        <f t="shared" si="1"/>
        <v>0.875</v>
      </c>
    </row>
    <row r="5" spans="1:14" x14ac:dyDescent="0.25">
      <c r="A5">
        <v>1.4</v>
      </c>
      <c r="B5" t="s">
        <v>70</v>
      </c>
      <c r="C5" t="s">
        <v>3</v>
      </c>
      <c r="D5" t="s">
        <v>60</v>
      </c>
      <c r="E5" t="s">
        <v>61</v>
      </c>
      <c r="F5" t="s">
        <v>71</v>
      </c>
      <c r="G5" t="s">
        <v>72</v>
      </c>
      <c r="H5" t="s">
        <v>73</v>
      </c>
      <c r="I5" t="s">
        <v>65</v>
      </c>
      <c r="J5" s="4" t="s">
        <v>74</v>
      </c>
      <c r="K5">
        <v>5</v>
      </c>
      <c r="L5">
        <v>6</v>
      </c>
      <c r="M5" s="2">
        <f t="shared" si="0"/>
        <v>0.83333333333333337</v>
      </c>
      <c r="N5" s="2">
        <f t="shared" si="1"/>
        <v>0</v>
      </c>
    </row>
    <row r="6" spans="1:14" x14ac:dyDescent="0.25">
      <c r="A6">
        <v>1.5</v>
      </c>
      <c r="B6" t="s">
        <v>75</v>
      </c>
      <c r="C6" t="s">
        <v>3</v>
      </c>
      <c r="D6" t="s">
        <v>52</v>
      </c>
      <c r="E6" t="s">
        <v>61</v>
      </c>
      <c r="F6" t="s">
        <v>76</v>
      </c>
      <c r="G6" t="s">
        <v>77</v>
      </c>
      <c r="H6" t="s">
        <v>78</v>
      </c>
      <c r="I6" t="s">
        <v>65</v>
      </c>
      <c r="J6" s="4" t="s">
        <v>58</v>
      </c>
      <c r="K6">
        <v>15</v>
      </c>
      <c r="L6">
        <v>25</v>
      </c>
      <c r="M6" s="2">
        <f t="shared" si="0"/>
        <v>1.6666666666666667</v>
      </c>
      <c r="N6" s="2">
        <f t="shared" si="1"/>
        <v>1</v>
      </c>
    </row>
    <row r="7" spans="1:14" x14ac:dyDescent="0.25">
      <c r="A7">
        <v>1.6</v>
      </c>
      <c r="B7" t="s">
        <v>79</v>
      </c>
      <c r="C7" t="s">
        <v>3</v>
      </c>
      <c r="D7" t="s">
        <v>52</v>
      </c>
      <c r="E7" t="s">
        <v>53</v>
      </c>
      <c r="F7" t="s">
        <v>80</v>
      </c>
      <c r="G7" t="s">
        <v>81</v>
      </c>
      <c r="H7" t="s">
        <v>82</v>
      </c>
      <c r="I7" t="s">
        <v>57</v>
      </c>
      <c r="J7" s="4" t="s">
        <v>58</v>
      </c>
      <c r="K7">
        <v>80</v>
      </c>
      <c r="L7">
        <v>83.33</v>
      </c>
      <c r="M7" s="2">
        <f t="shared" si="0"/>
        <v>1.041625</v>
      </c>
      <c r="N7" s="2">
        <f t="shared" si="1"/>
        <v>1</v>
      </c>
    </row>
    <row r="8" spans="1:14" x14ac:dyDescent="0.25">
      <c r="A8">
        <v>1.7</v>
      </c>
      <c r="B8" t="s">
        <v>83</v>
      </c>
      <c r="C8" t="s">
        <v>3</v>
      </c>
      <c r="D8" t="s">
        <v>52</v>
      </c>
      <c r="E8" t="s">
        <v>53</v>
      </c>
      <c r="F8" t="s">
        <v>84</v>
      </c>
      <c r="G8" t="s">
        <v>85</v>
      </c>
      <c r="H8" t="s">
        <v>86</v>
      </c>
      <c r="I8" t="s">
        <v>57</v>
      </c>
      <c r="J8" s="4" t="s">
        <v>87</v>
      </c>
      <c r="K8">
        <v>2</v>
      </c>
      <c r="L8">
        <v>2</v>
      </c>
      <c r="M8" s="2">
        <f t="shared" si="0"/>
        <v>1</v>
      </c>
      <c r="N8" s="2">
        <f t="shared" si="1"/>
        <v>1</v>
      </c>
    </row>
    <row r="9" spans="1:14" x14ac:dyDescent="0.25">
      <c r="A9">
        <v>1.8</v>
      </c>
      <c r="B9" t="s">
        <v>88</v>
      </c>
      <c r="C9" t="s">
        <v>3</v>
      </c>
      <c r="D9" t="s">
        <v>52</v>
      </c>
      <c r="E9" t="s">
        <v>53</v>
      </c>
      <c r="F9" t="s">
        <v>89</v>
      </c>
      <c r="G9" t="s">
        <v>90</v>
      </c>
      <c r="H9" t="s">
        <v>91</v>
      </c>
      <c r="I9" t="s">
        <v>57</v>
      </c>
      <c r="J9" s="4" t="s">
        <v>58</v>
      </c>
      <c r="K9">
        <v>80</v>
      </c>
      <c r="L9">
        <v>80</v>
      </c>
      <c r="M9" s="2">
        <f t="shared" si="0"/>
        <v>1</v>
      </c>
      <c r="N9" s="2">
        <f t="shared" si="1"/>
        <v>1</v>
      </c>
    </row>
    <row r="10" spans="1:14" x14ac:dyDescent="0.25">
      <c r="A10">
        <v>1.9</v>
      </c>
      <c r="B10" t="s">
        <v>92</v>
      </c>
      <c r="C10" t="s">
        <v>3</v>
      </c>
      <c r="D10" t="s">
        <v>52</v>
      </c>
      <c r="E10" t="s">
        <v>53</v>
      </c>
      <c r="F10" t="s">
        <v>93</v>
      </c>
      <c r="G10" t="s">
        <v>94</v>
      </c>
      <c r="H10" t="s">
        <v>95</v>
      </c>
      <c r="I10" t="s">
        <v>57</v>
      </c>
      <c r="J10" s="4" t="s">
        <v>87</v>
      </c>
      <c r="K10">
        <v>12</v>
      </c>
      <c r="L10">
        <v>12</v>
      </c>
      <c r="M10" s="2">
        <f t="shared" si="0"/>
        <v>1</v>
      </c>
      <c r="N10" s="2">
        <f t="shared" si="1"/>
        <v>1</v>
      </c>
    </row>
    <row r="11" spans="1:14" x14ac:dyDescent="0.25">
      <c r="A11">
        <v>1.1000000000000001</v>
      </c>
      <c r="B11" t="s">
        <v>96</v>
      </c>
      <c r="C11" t="s">
        <v>3</v>
      </c>
      <c r="D11" t="s">
        <v>60</v>
      </c>
      <c r="E11" t="s">
        <v>61</v>
      </c>
      <c r="F11" t="s">
        <v>97</v>
      </c>
      <c r="G11" t="s">
        <v>98</v>
      </c>
      <c r="H11" t="s">
        <v>99</v>
      </c>
      <c r="I11" t="s">
        <v>65</v>
      </c>
      <c r="J11" s="4" t="s">
        <v>100</v>
      </c>
      <c r="K11">
        <v>4</v>
      </c>
      <c r="L11">
        <v>5</v>
      </c>
      <c r="M11" s="2">
        <f t="shared" si="0"/>
        <v>0.8</v>
      </c>
      <c r="N11" s="2">
        <f t="shared" si="1"/>
        <v>0</v>
      </c>
    </row>
    <row r="12" spans="1:14" x14ac:dyDescent="0.25">
      <c r="A12">
        <v>1.1100000000000001</v>
      </c>
      <c r="B12" t="s">
        <v>101</v>
      </c>
      <c r="C12" t="s">
        <v>3</v>
      </c>
      <c r="D12" t="s">
        <v>60</v>
      </c>
      <c r="E12" t="s">
        <v>61</v>
      </c>
      <c r="F12" t="s">
        <v>71</v>
      </c>
      <c r="G12" t="s">
        <v>102</v>
      </c>
      <c r="H12" t="s">
        <v>103</v>
      </c>
      <c r="I12" t="s">
        <v>65</v>
      </c>
      <c r="J12" s="4" t="s">
        <v>74</v>
      </c>
      <c r="K12">
        <v>2</v>
      </c>
      <c r="L12">
        <v>3</v>
      </c>
      <c r="M12" s="2">
        <f t="shared" si="0"/>
        <v>0.66666666666666663</v>
      </c>
      <c r="N12" s="2">
        <f t="shared" si="1"/>
        <v>0</v>
      </c>
    </row>
    <row r="13" spans="1:14" x14ac:dyDescent="0.25">
      <c r="A13">
        <v>1.1200000000000001</v>
      </c>
      <c r="B13" t="s">
        <v>104</v>
      </c>
      <c r="C13" t="s">
        <v>3</v>
      </c>
      <c r="D13" t="s">
        <v>52</v>
      </c>
      <c r="E13" t="s">
        <v>53</v>
      </c>
      <c r="F13" t="s">
        <v>105</v>
      </c>
      <c r="G13" t="s">
        <v>106</v>
      </c>
      <c r="H13" t="s">
        <v>107</v>
      </c>
      <c r="I13" t="s">
        <v>57</v>
      </c>
      <c r="J13" s="4" t="s">
        <v>58</v>
      </c>
      <c r="K13">
        <v>80</v>
      </c>
      <c r="L13">
        <v>80</v>
      </c>
      <c r="M13" s="2">
        <f t="shared" si="0"/>
        <v>1</v>
      </c>
      <c r="N13" s="2">
        <f t="shared" si="1"/>
        <v>1</v>
      </c>
    </row>
    <row r="14" spans="1:14" x14ac:dyDescent="0.25">
      <c r="A14">
        <v>2.1</v>
      </c>
      <c r="B14" t="s">
        <v>108</v>
      </c>
      <c r="C14" t="s">
        <v>5</v>
      </c>
      <c r="D14" t="s">
        <v>60</v>
      </c>
      <c r="E14" t="s">
        <v>61</v>
      </c>
      <c r="F14" t="s">
        <v>109</v>
      </c>
      <c r="G14" t="s">
        <v>110</v>
      </c>
      <c r="H14" t="s">
        <v>111</v>
      </c>
      <c r="I14" t="s">
        <v>65</v>
      </c>
      <c r="J14" s="4" t="s">
        <v>58</v>
      </c>
      <c r="K14">
        <v>12</v>
      </c>
      <c r="L14">
        <v>66.67</v>
      </c>
      <c r="M14" s="2">
        <f>IFERROR(IF(#REF!="Positivo",#REF! /#REF!, IF(#REF!&lt;=#REF!, 1,#REF! /#REF!)), 0)</f>
        <v>0</v>
      </c>
      <c r="N14" s="2">
        <f>IFERROR(IF(#REF!="Positivo", IF(#REF!&gt;=#REF!, 1,#REF! /#REF!), IF(#REF!&lt;=#REF!, 1, 0)), 0)</f>
        <v>0</v>
      </c>
    </row>
    <row r="15" spans="1:14" x14ac:dyDescent="0.25">
      <c r="A15">
        <v>2.2000000000000002</v>
      </c>
      <c r="B15" t="s">
        <v>112</v>
      </c>
      <c r="C15" t="s">
        <v>5</v>
      </c>
      <c r="D15" t="s">
        <v>52</v>
      </c>
      <c r="E15" t="s">
        <v>53</v>
      </c>
      <c r="F15" t="s">
        <v>113</v>
      </c>
      <c r="G15" t="s">
        <v>114</v>
      </c>
      <c r="H15" t="s">
        <v>115</v>
      </c>
      <c r="I15" t="s">
        <v>57</v>
      </c>
      <c r="J15" s="4" t="s">
        <v>58</v>
      </c>
      <c r="K15">
        <v>80</v>
      </c>
      <c r="L15">
        <v>80</v>
      </c>
      <c r="M15" s="2">
        <f t="shared" ref="M15:M46" si="2">IFERROR(IF(D14="Positivo", L14/K14, IF(L14&lt;=K14, 1, K14/L14)), 0)</f>
        <v>0.17999100044997748</v>
      </c>
      <c r="N15" s="2">
        <f t="shared" ref="N15:N46" si="3">IFERROR(IF(D14="Positivo", IF(L14&gt;=K14, 1, L14/K14), IF(L14&lt;=K14, 1, 0)), 0)</f>
        <v>0</v>
      </c>
    </row>
    <row r="16" spans="1:14" x14ac:dyDescent="0.25">
      <c r="A16">
        <v>2.2999999999999998</v>
      </c>
      <c r="B16" t="s">
        <v>116</v>
      </c>
      <c r="C16" t="s">
        <v>5</v>
      </c>
      <c r="D16" t="s">
        <v>52</v>
      </c>
      <c r="E16" t="s">
        <v>53</v>
      </c>
      <c r="F16" t="s">
        <v>117</v>
      </c>
      <c r="G16" t="s">
        <v>118</v>
      </c>
      <c r="H16" t="s">
        <v>119</v>
      </c>
      <c r="I16" t="s">
        <v>57</v>
      </c>
      <c r="J16" s="4" t="s">
        <v>58</v>
      </c>
      <c r="K16">
        <v>80</v>
      </c>
      <c r="L16">
        <v>80</v>
      </c>
      <c r="M16" s="2">
        <f t="shared" si="2"/>
        <v>1</v>
      </c>
      <c r="N16" s="2">
        <f t="shared" si="3"/>
        <v>1</v>
      </c>
    </row>
    <row r="17" spans="1:14" x14ac:dyDescent="0.25">
      <c r="A17">
        <v>2.4</v>
      </c>
      <c r="B17" t="s">
        <v>120</v>
      </c>
      <c r="C17" t="s">
        <v>5</v>
      </c>
      <c r="D17" t="s">
        <v>52</v>
      </c>
      <c r="E17" t="s">
        <v>53</v>
      </c>
      <c r="F17" t="s">
        <v>121</v>
      </c>
      <c r="G17" t="s">
        <v>122</v>
      </c>
      <c r="H17" t="s">
        <v>123</v>
      </c>
      <c r="I17" t="s">
        <v>57</v>
      </c>
      <c r="J17" s="4" t="s">
        <v>58</v>
      </c>
      <c r="K17">
        <v>80</v>
      </c>
      <c r="L17">
        <v>100</v>
      </c>
      <c r="M17" s="2">
        <f t="shared" si="2"/>
        <v>1</v>
      </c>
      <c r="N17" s="2">
        <f t="shared" si="3"/>
        <v>1</v>
      </c>
    </row>
    <row r="18" spans="1:14" x14ac:dyDescent="0.25">
      <c r="A18">
        <v>2.5</v>
      </c>
      <c r="B18" t="s">
        <v>124</v>
      </c>
      <c r="C18" t="s">
        <v>5</v>
      </c>
      <c r="D18" t="s">
        <v>60</v>
      </c>
      <c r="E18" t="s">
        <v>61</v>
      </c>
      <c r="F18" t="s">
        <v>125</v>
      </c>
      <c r="G18" t="s">
        <v>126</v>
      </c>
      <c r="H18" t="s">
        <v>127</v>
      </c>
      <c r="I18" t="s">
        <v>65</v>
      </c>
      <c r="J18" s="4" t="s">
        <v>128</v>
      </c>
      <c r="K18">
        <v>500</v>
      </c>
      <c r="L18">
        <v>480</v>
      </c>
      <c r="M18" s="2">
        <f t="shared" si="2"/>
        <v>1.25</v>
      </c>
      <c r="N18" s="2">
        <f t="shared" si="3"/>
        <v>1</v>
      </c>
    </row>
    <row r="19" spans="1:14" x14ac:dyDescent="0.25">
      <c r="A19">
        <v>2.6</v>
      </c>
      <c r="B19" t="s">
        <v>129</v>
      </c>
      <c r="C19" t="s">
        <v>5</v>
      </c>
      <c r="D19" t="s">
        <v>52</v>
      </c>
      <c r="E19" t="s">
        <v>53</v>
      </c>
      <c r="F19" t="s">
        <v>130</v>
      </c>
      <c r="G19" t="s">
        <v>131</v>
      </c>
      <c r="H19" t="s">
        <v>132</v>
      </c>
      <c r="I19" t="s">
        <v>57</v>
      </c>
      <c r="J19" s="4" t="s">
        <v>58</v>
      </c>
      <c r="K19">
        <v>80</v>
      </c>
      <c r="L19">
        <v>37.5</v>
      </c>
      <c r="M19" s="2">
        <f t="shared" si="2"/>
        <v>1</v>
      </c>
      <c r="N19" s="2">
        <f t="shared" si="3"/>
        <v>1</v>
      </c>
    </row>
    <row r="20" spans="1:14" x14ac:dyDescent="0.25">
      <c r="A20">
        <v>2.7</v>
      </c>
      <c r="B20" t="s">
        <v>133</v>
      </c>
      <c r="C20" t="s">
        <v>5</v>
      </c>
      <c r="D20" t="s">
        <v>52</v>
      </c>
      <c r="E20" t="s">
        <v>53</v>
      </c>
      <c r="F20" t="s">
        <v>134</v>
      </c>
      <c r="G20" t="s">
        <v>135</v>
      </c>
      <c r="H20" t="s">
        <v>136</v>
      </c>
      <c r="I20" t="s">
        <v>57</v>
      </c>
      <c r="J20" s="4" t="s">
        <v>87</v>
      </c>
      <c r="K20">
        <v>6</v>
      </c>
      <c r="L20">
        <v>5</v>
      </c>
      <c r="M20" s="2">
        <f t="shared" si="2"/>
        <v>0.46875</v>
      </c>
      <c r="N20" s="2">
        <f t="shared" si="3"/>
        <v>0.46875</v>
      </c>
    </row>
    <row r="21" spans="1:14" x14ac:dyDescent="0.25">
      <c r="A21">
        <v>2.8</v>
      </c>
      <c r="B21" t="s">
        <v>137</v>
      </c>
      <c r="C21" t="s">
        <v>5</v>
      </c>
      <c r="D21" t="s">
        <v>60</v>
      </c>
      <c r="E21" t="s">
        <v>61</v>
      </c>
      <c r="F21" t="s">
        <v>138</v>
      </c>
      <c r="G21" t="s">
        <v>139</v>
      </c>
      <c r="H21" t="s">
        <v>140</v>
      </c>
      <c r="I21" t="s">
        <v>65</v>
      </c>
      <c r="J21" s="4" t="s">
        <v>58</v>
      </c>
      <c r="K21">
        <v>10</v>
      </c>
      <c r="L21">
        <v>20</v>
      </c>
      <c r="M21" s="2">
        <f t="shared" si="2"/>
        <v>0.83333333333333337</v>
      </c>
      <c r="N21" s="2">
        <f t="shared" si="3"/>
        <v>0.83333333333333337</v>
      </c>
    </row>
    <row r="22" spans="1:14" x14ac:dyDescent="0.25">
      <c r="A22">
        <v>2.9</v>
      </c>
      <c r="B22" t="s">
        <v>141</v>
      </c>
      <c r="C22" t="s">
        <v>5</v>
      </c>
      <c r="D22" t="s">
        <v>52</v>
      </c>
      <c r="E22" t="s">
        <v>53</v>
      </c>
      <c r="F22" t="s">
        <v>142</v>
      </c>
      <c r="G22" t="s">
        <v>143</v>
      </c>
      <c r="H22" t="s">
        <v>144</v>
      </c>
      <c r="I22" t="s">
        <v>57</v>
      </c>
      <c r="J22" s="4" t="s">
        <v>58</v>
      </c>
      <c r="K22">
        <v>90</v>
      </c>
      <c r="L22">
        <v>85</v>
      </c>
      <c r="M22" s="2">
        <f t="shared" si="2"/>
        <v>0.5</v>
      </c>
      <c r="N22" s="2">
        <f t="shared" si="3"/>
        <v>0</v>
      </c>
    </row>
    <row r="23" spans="1:14" x14ac:dyDescent="0.25">
      <c r="A23" s="3">
        <v>2.1</v>
      </c>
      <c r="B23" t="s">
        <v>145</v>
      </c>
      <c r="C23" t="s">
        <v>5</v>
      </c>
      <c r="D23" t="s">
        <v>52</v>
      </c>
      <c r="E23" t="s">
        <v>53</v>
      </c>
      <c r="F23" t="s">
        <v>146</v>
      </c>
      <c r="G23" t="s">
        <v>147</v>
      </c>
      <c r="H23" t="s">
        <v>148</v>
      </c>
      <c r="I23" t="s">
        <v>57</v>
      </c>
      <c r="J23" s="4" t="s">
        <v>58</v>
      </c>
      <c r="K23">
        <v>80</v>
      </c>
      <c r="L23">
        <v>87.5</v>
      </c>
      <c r="M23" s="2">
        <f t="shared" si="2"/>
        <v>0.94444444444444442</v>
      </c>
      <c r="N23" s="2">
        <f t="shared" si="3"/>
        <v>0.94444444444444442</v>
      </c>
    </row>
    <row r="24" spans="1:14" x14ac:dyDescent="0.25">
      <c r="A24">
        <v>2.11</v>
      </c>
      <c r="B24" t="s">
        <v>149</v>
      </c>
      <c r="C24" t="s">
        <v>5</v>
      </c>
      <c r="D24" t="s">
        <v>60</v>
      </c>
      <c r="E24" t="s">
        <v>61</v>
      </c>
      <c r="F24" t="s">
        <v>150</v>
      </c>
      <c r="G24" t="s">
        <v>151</v>
      </c>
      <c r="H24" t="s">
        <v>152</v>
      </c>
      <c r="I24" t="s">
        <v>65</v>
      </c>
      <c r="J24" s="4" t="s">
        <v>58</v>
      </c>
      <c r="K24">
        <v>12</v>
      </c>
      <c r="L24">
        <v>20</v>
      </c>
      <c r="M24" s="2">
        <f t="shared" si="2"/>
        <v>1.09375</v>
      </c>
      <c r="N24" s="2">
        <f t="shared" si="3"/>
        <v>1</v>
      </c>
    </row>
    <row r="25" spans="1:14" x14ac:dyDescent="0.25">
      <c r="A25">
        <v>2.12</v>
      </c>
      <c r="B25" t="s">
        <v>153</v>
      </c>
      <c r="C25" t="s">
        <v>5</v>
      </c>
      <c r="D25" t="s">
        <v>60</v>
      </c>
      <c r="E25" t="s">
        <v>61</v>
      </c>
      <c r="F25" t="s">
        <v>154</v>
      </c>
      <c r="G25" t="s">
        <v>155</v>
      </c>
      <c r="H25" t="s">
        <v>156</v>
      </c>
      <c r="I25" t="s">
        <v>65</v>
      </c>
      <c r="J25" s="4" t="s">
        <v>58</v>
      </c>
      <c r="K25">
        <v>10</v>
      </c>
      <c r="L25">
        <v>10</v>
      </c>
      <c r="M25" s="2">
        <f t="shared" si="2"/>
        <v>0.6</v>
      </c>
      <c r="N25" s="2">
        <f t="shared" si="3"/>
        <v>0</v>
      </c>
    </row>
    <row r="26" spans="1:14" x14ac:dyDescent="0.25">
      <c r="A26">
        <v>3.1</v>
      </c>
      <c r="B26" t="s">
        <v>157</v>
      </c>
      <c r="C26" t="s">
        <v>7</v>
      </c>
      <c r="D26" t="s">
        <v>52</v>
      </c>
      <c r="E26" t="s">
        <v>158</v>
      </c>
      <c r="F26" t="s">
        <v>159</v>
      </c>
      <c r="G26" t="s">
        <v>160</v>
      </c>
      <c r="H26" t="s">
        <v>161</v>
      </c>
      <c r="I26" t="s">
        <v>57</v>
      </c>
      <c r="J26" s="4" t="s">
        <v>58</v>
      </c>
      <c r="K26">
        <v>95</v>
      </c>
      <c r="L26">
        <v>95</v>
      </c>
      <c r="M26" s="2">
        <f t="shared" si="2"/>
        <v>1</v>
      </c>
      <c r="N26" s="2">
        <f t="shared" si="3"/>
        <v>1</v>
      </c>
    </row>
    <row r="27" spans="1:14" x14ac:dyDescent="0.25">
      <c r="A27">
        <v>3.2</v>
      </c>
      <c r="B27" t="s">
        <v>162</v>
      </c>
      <c r="C27" t="s">
        <v>7</v>
      </c>
      <c r="D27" t="s">
        <v>52</v>
      </c>
      <c r="E27" t="s">
        <v>158</v>
      </c>
      <c r="F27" t="s">
        <v>163</v>
      </c>
      <c r="G27" t="s">
        <v>164</v>
      </c>
      <c r="H27" t="s">
        <v>165</v>
      </c>
      <c r="I27" t="s">
        <v>57</v>
      </c>
      <c r="J27" s="4" t="s">
        <v>58</v>
      </c>
      <c r="K27">
        <v>100</v>
      </c>
      <c r="L27">
        <v>90</v>
      </c>
      <c r="M27" s="2">
        <f t="shared" si="2"/>
        <v>1</v>
      </c>
      <c r="N27" s="2">
        <f t="shared" si="3"/>
        <v>1</v>
      </c>
    </row>
    <row r="28" spans="1:14" x14ac:dyDescent="0.25">
      <c r="A28">
        <v>3.3</v>
      </c>
      <c r="B28" t="s">
        <v>166</v>
      </c>
      <c r="C28" t="s">
        <v>7</v>
      </c>
      <c r="D28" t="s">
        <v>52</v>
      </c>
      <c r="E28" t="s">
        <v>167</v>
      </c>
      <c r="F28" t="s">
        <v>168</v>
      </c>
      <c r="G28" t="s">
        <v>169</v>
      </c>
      <c r="H28" t="s">
        <v>170</v>
      </c>
      <c r="I28" t="s">
        <v>65</v>
      </c>
      <c r="J28" s="4" t="s">
        <v>58</v>
      </c>
      <c r="K28">
        <v>98</v>
      </c>
      <c r="L28">
        <v>90</v>
      </c>
      <c r="M28" s="2">
        <f t="shared" si="2"/>
        <v>0.9</v>
      </c>
      <c r="N28" s="2">
        <f t="shared" si="3"/>
        <v>0.9</v>
      </c>
    </row>
    <row r="29" spans="1:14" x14ac:dyDescent="0.25">
      <c r="A29">
        <v>3.4</v>
      </c>
      <c r="B29" t="s">
        <v>171</v>
      </c>
      <c r="C29" t="s">
        <v>7</v>
      </c>
      <c r="D29" t="s">
        <v>52</v>
      </c>
      <c r="E29" t="s">
        <v>158</v>
      </c>
      <c r="F29" t="s">
        <v>172</v>
      </c>
      <c r="G29" t="s">
        <v>173</v>
      </c>
      <c r="H29" t="s">
        <v>174</v>
      </c>
      <c r="I29" t="s">
        <v>57</v>
      </c>
      <c r="J29" s="4" t="s">
        <v>58</v>
      </c>
      <c r="K29">
        <v>100</v>
      </c>
      <c r="L29">
        <v>100</v>
      </c>
      <c r="M29" s="2">
        <f t="shared" si="2"/>
        <v>0.91836734693877553</v>
      </c>
      <c r="N29" s="2">
        <f t="shared" si="3"/>
        <v>0.91836734693877553</v>
      </c>
    </row>
    <row r="30" spans="1:14" x14ac:dyDescent="0.25">
      <c r="A30">
        <v>3.5</v>
      </c>
      <c r="B30" t="s">
        <v>175</v>
      </c>
      <c r="C30" t="s">
        <v>7</v>
      </c>
      <c r="D30" t="s">
        <v>52</v>
      </c>
      <c r="E30" t="s">
        <v>167</v>
      </c>
      <c r="F30" t="s">
        <v>176</v>
      </c>
      <c r="G30" t="s">
        <v>177</v>
      </c>
      <c r="H30" t="s">
        <v>178</v>
      </c>
      <c r="I30" t="s">
        <v>65</v>
      </c>
      <c r="J30" s="4" t="s">
        <v>58</v>
      </c>
      <c r="K30">
        <v>100</v>
      </c>
      <c r="L30">
        <v>100</v>
      </c>
      <c r="M30" s="2">
        <f t="shared" si="2"/>
        <v>1</v>
      </c>
      <c r="N30" s="2">
        <f t="shared" si="3"/>
        <v>1</v>
      </c>
    </row>
    <row r="31" spans="1:14" x14ac:dyDescent="0.25">
      <c r="A31">
        <v>3.6</v>
      </c>
      <c r="B31" t="s">
        <v>179</v>
      </c>
      <c r="C31" t="s">
        <v>7</v>
      </c>
      <c r="D31" t="s">
        <v>52</v>
      </c>
      <c r="E31" t="s">
        <v>167</v>
      </c>
      <c r="F31" t="s">
        <v>180</v>
      </c>
      <c r="G31" t="s">
        <v>181</v>
      </c>
      <c r="H31" t="s">
        <v>182</v>
      </c>
      <c r="I31" t="s">
        <v>65</v>
      </c>
      <c r="J31" s="4" t="s">
        <v>58</v>
      </c>
      <c r="K31">
        <v>100</v>
      </c>
      <c r="L31">
        <v>100</v>
      </c>
      <c r="M31" s="2">
        <f t="shared" si="2"/>
        <v>1</v>
      </c>
      <c r="N31" s="2">
        <f t="shared" si="3"/>
        <v>1</v>
      </c>
    </row>
    <row r="32" spans="1:14" x14ac:dyDescent="0.25">
      <c r="A32">
        <v>3.7</v>
      </c>
      <c r="B32" t="s">
        <v>183</v>
      </c>
      <c r="C32" t="s">
        <v>7</v>
      </c>
      <c r="D32" t="s">
        <v>52</v>
      </c>
      <c r="E32" t="s">
        <v>158</v>
      </c>
      <c r="F32" t="s">
        <v>184</v>
      </c>
      <c r="G32" t="s">
        <v>185</v>
      </c>
      <c r="H32" t="s">
        <v>186</v>
      </c>
      <c r="I32" t="s">
        <v>57</v>
      </c>
      <c r="J32" s="4" t="s">
        <v>58</v>
      </c>
      <c r="K32">
        <v>90</v>
      </c>
      <c r="L32">
        <v>100</v>
      </c>
      <c r="M32" s="2">
        <f t="shared" si="2"/>
        <v>1</v>
      </c>
      <c r="N32" s="2">
        <f t="shared" si="3"/>
        <v>1</v>
      </c>
    </row>
    <row r="33" spans="1:14" x14ac:dyDescent="0.25">
      <c r="A33">
        <v>3.8</v>
      </c>
      <c r="B33" t="s">
        <v>187</v>
      </c>
      <c r="C33" t="s">
        <v>7</v>
      </c>
      <c r="D33" t="s">
        <v>52</v>
      </c>
      <c r="E33" t="s">
        <v>167</v>
      </c>
      <c r="F33" t="s">
        <v>188</v>
      </c>
      <c r="G33" t="s">
        <v>189</v>
      </c>
      <c r="H33" t="s">
        <v>190</v>
      </c>
      <c r="I33" t="s">
        <v>65</v>
      </c>
      <c r="J33" s="4" t="s">
        <v>58</v>
      </c>
      <c r="K33">
        <v>100</v>
      </c>
      <c r="L33">
        <v>83.33</v>
      </c>
      <c r="M33" s="2">
        <f t="shared" si="2"/>
        <v>1.1111111111111112</v>
      </c>
      <c r="N33" s="2">
        <f t="shared" si="3"/>
        <v>1</v>
      </c>
    </row>
    <row r="34" spans="1:14" x14ac:dyDescent="0.25">
      <c r="A34">
        <v>3.9</v>
      </c>
      <c r="B34" t="s">
        <v>191</v>
      </c>
      <c r="C34" t="s">
        <v>7</v>
      </c>
      <c r="D34" t="s">
        <v>52</v>
      </c>
      <c r="E34" t="s">
        <v>167</v>
      </c>
      <c r="F34" t="s">
        <v>192</v>
      </c>
      <c r="G34" t="s">
        <v>193</v>
      </c>
      <c r="H34" t="s">
        <v>194</v>
      </c>
      <c r="I34" t="s">
        <v>65</v>
      </c>
      <c r="J34" s="4" t="s">
        <v>58</v>
      </c>
      <c r="K34">
        <v>95</v>
      </c>
      <c r="L34">
        <v>96</v>
      </c>
      <c r="M34" s="2">
        <f t="shared" si="2"/>
        <v>0.83329999999999993</v>
      </c>
      <c r="N34" s="2">
        <f t="shared" si="3"/>
        <v>0.83329999999999993</v>
      </c>
    </row>
    <row r="35" spans="1:14" x14ac:dyDescent="0.25">
      <c r="A35" s="3">
        <v>3.1</v>
      </c>
      <c r="B35" t="s">
        <v>195</v>
      </c>
      <c r="C35" t="s">
        <v>7</v>
      </c>
      <c r="D35" t="s">
        <v>52</v>
      </c>
      <c r="E35" t="s">
        <v>158</v>
      </c>
      <c r="F35" t="s">
        <v>196</v>
      </c>
      <c r="G35" t="s">
        <v>197</v>
      </c>
      <c r="H35" t="s">
        <v>198</v>
      </c>
      <c r="I35" t="s">
        <v>57</v>
      </c>
      <c r="J35" s="4" t="s">
        <v>58</v>
      </c>
      <c r="K35">
        <v>85</v>
      </c>
      <c r="L35">
        <v>80</v>
      </c>
      <c r="M35" s="2">
        <f t="shared" si="2"/>
        <v>1.0105263157894737</v>
      </c>
      <c r="N35" s="2">
        <f t="shared" si="3"/>
        <v>1</v>
      </c>
    </row>
    <row r="36" spans="1:14" x14ac:dyDescent="0.25">
      <c r="A36">
        <v>3.11</v>
      </c>
      <c r="B36" t="s">
        <v>199</v>
      </c>
      <c r="C36" t="s">
        <v>7</v>
      </c>
      <c r="D36" t="s">
        <v>52</v>
      </c>
      <c r="E36" t="s">
        <v>158</v>
      </c>
      <c r="F36" t="s">
        <v>200</v>
      </c>
      <c r="G36" t="s">
        <v>201</v>
      </c>
      <c r="H36" t="s">
        <v>202</v>
      </c>
      <c r="I36" t="s">
        <v>57</v>
      </c>
      <c r="J36" s="4" t="s">
        <v>58</v>
      </c>
      <c r="K36">
        <v>100</v>
      </c>
      <c r="L36">
        <v>105</v>
      </c>
      <c r="M36" s="2">
        <f t="shared" si="2"/>
        <v>0.94117647058823528</v>
      </c>
      <c r="N36" s="2">
        <f t="shared" si="3"/>
        <v>0.94117647058823528</v>
      </c>
    </row>
    <row r="37" spans="1:14" x14ac:dyDescent="0.25">
      <c r="A37">
        <v>3.12</v>
      </c>
      <c r="B37" t="s">
        <v>203</v>
      </c>
      <c r="C37" t="s">
        <v>7</v>
      </c>
      <c r="D37" t="s">
        <v>52</v>
      </c>
      <c r="E37" t="s">
        <v>167</v>
      </c>
      <c r="F37" t="s">
        <v>204</v>
      </c>
      <c r="G37" t="s">
        <v>164</v>
      </c>
      <c r="H37" t="s">
        <v>205</v>
      </c>
      <c r="I37" t="s">
        <v>65</v>
      </c>
      <c r="J37" s="4" t="s">
        <v>58</v>
      </c>
      <c r="K37">
        <v>95</v>
      </c>
      <c r="L37">
        <v>100</v>
      </c>
      <c r="M37" s="2">
        <f t="shared" si="2"/>
        <v>1.05</v>
      </c>
      <c r="N37" s="2">
        <f t="shared" si="3"/>
        <v>1</v>
      </c>
    </row>
    <row r="38" spans="1:14" x14ac:dyDescent="0.25">
      <c r="A38">
        <v>3.13</v>
      </c>
      <c r="B38" t="s">
        <v>206</v>
      </c>
      <c r="C38" t="s">
        <v>7</v>
      </c>
      <c r="D38" t="s">
        <v>52</v>
      </c>
      <c r="E38" t="s">
        <v>167</v>
      </c>
      <c r="F38" t="s">
        <v>207</v>
      </c>
      <c r="G38" t="s">
        <v>169</v>
      </c>
      <c r="H38" t="s">
        <v>208</v>
      </c>
      <c r="I38" t="s">
        <v>65</v>
      </c>
      <c r="J38" s="4" t="s">
        <v>58</v>
      </c>
      <c r="K38">
        <v>100</v>
      </c>
      <c r="L38">
        <v>100</v>
      </c>
      <c r="M38" s="2">
        <f t="shared" si="2"/>
        <v>1.0526315789473684</v>
      </c>
      <c r="N38" s="2">
        <f t="shared" si="3"/>
        <v>1</v>
      </c>
    </row>
    <row r="39" spans="1:14" x14ac:dyDescent="0.25">
      <c r="A39">
        <v>3.14</v>
      </c>
      <c r="B39" t="s">
        <v>209</v>
      </c>
      <c r="C39" t="s">
        <v>7</v>
      </c>
      <c r="D39" t="s">
        <v>52</v>
      </c>
      <c r="E39" t="s">
        <v>167</v>
      </c>
      <c r="F39" t="s">
        <v>210</v>
      </c>
      <c r="G39" t="s">
        <v>197</v>
      </c>
      <c r="H39" t="s">
        <v>211</v>
      </c>
      <c r="I39" t="s">
        <v>65</v>
      </c>
      <c r="J39" s="4" t="s">
        <v>58</v>
      </c>
      <c r="K39">
        <v>100</v>
      </c>
      <c r="L39">
        <v>100</v>
      </c>
      <c r="M39" s="2">
        <f t="shared" si="2"/>
        <v>1</v>
      </c>
      <c r="N39" s="2">
        <f t="shared" si="3"/>
        <v>1</v>
      </c>
    </row>
    <row r="40" spans="1:14" x14ac:dyDescent="0.25">
      <c r="A40">
        <v>3.15</v>
      </c>
      <c r="B40" t="s">
        <v>212</v>
      </c>
      <c r="C40" t="s">
        <v>7</v>
      </c>
      <c r="D40" t="s">
        <v>60</v>
      </c>
      <c r="E40" t="s">
        <v>213</v>
      </c>
      <c r="F40" t="s">
        <v>214</v>
      </c>
      <c r="G40" t="s">
        <v>177</v>
      </c>
      <c r="H40" t="s">
        <v>215</v>
      </c>
      <c r="I40" t="s">
        <v>65</v>
      </c>
      <c r="J40" s="4" t="s">
        <v>58</v>
      </c>
      <c r="K40">
        <v>10</v>
      </c>
      <c r="L40">
        <v>6</v>
      </c>
      <c r="M40" s="2">
        <f t="shared" si="2"/>
        <v>1</v>
      </c>
      <c r="N40" s="2">
        <f t="shared" si="3"/>
        <v>1</v>
      </c>
    </row>
    <row r="41" spans="1:14" x14ac:dyDescent="0.25">
      <c r="A41">
        <v>3.16</v>
      </c>
      <c r="B41" t="s">
        <v>216</v>
      </c>
      <c r="C41" t="s">
        <v>7</v>
      </c>
      <c r="D41" t="s">
        <v>52</v>
      </c>
      <c r="E41" t="s">
        <v>167</v>
      </c>
      <c r="F41" t="s">
        <v>217</v>
      </c>
      <c r="G41" t="s">
        <v>218</v>
      </c>
      <c r="H41" t="s">
        <v>219</v>
      </c>
      <c r="I41" t="s">
        <v>65</v>
      </c>
      <c r="J41" s="4" t="s">
        <v>58</v>
      </c>
      <c r="K41">
        <v>90</v>
      </c>
      <c r="L41">
        <v>90</v>
      </c>
      <c r="M41" s="2">
        <f t="shared" si="2"/>
        <v>1</v>
      </c>
      <c r="N41" s="2">
        <f t="shared" si="3"/>
        <v>1</v>
      </c>
    </row>
    <row r="42" spans="1:14" x14ac:dyDescent="0.25">
      <c r="A42">
        <v>3.17</v>
      </c>
      <c r="B42" t="s">
        <v>220</v>
      </c>
      <c r="C42" t="s">
        <v>7</v>
      </c>
      <c r="D42" t="s">
        <v>52</v>
      </c>
      <c r="E42" t="s">
        <v>158</v>
      </c>
      <c r="F42" t="s">
        <v>221</v>
      </c>
      <c r="G42" t="s">
        <v>222</v>
      </c>
      <c r="H42" t="s">
        <v>223</v>
      </c>
      <c r="I42" t="s">
        <v>57</v>
      </c>
      <c r="J42" s="4" t="s">
        <v>58</v>
      </c>
      <c r="K42">
        <v>100</v>
      </c>
      <c r="L42">
        <v>100</v>
      </c>
      <c r="M42" s="2">
        <f t="shared" si="2"/>
        <v>1</v>
      </c>
      <c r="N42" s="2">
        <f t="shared" si="3"/>
        <v>1</v>
      </c>
    </row>
    <row r="43" spans="1:14" x14ac:dyDescent="0.25">
      <c r="A43">
        <v>3.18</v>
      </c>
      <c r="B43" t="s">
        <v>224</v>
      </c>
      <c r="C43" t="s">
        <v>7</v>
      </c>
      <c r="D43" t="s">
        <v>52</v>
      </c>
      <c r="E43" t="s">
        <v>167</v>
      </c>
      <c r="F43" t="s">
        <v>225</v>
      </c>
      <c r="G43" t="s">
        <v>226</v>
      </c>
      <c r="H43" t="s">
        <v>227</v>
      </c>
      <c r="I43" t="s">
        <v>65</v>
      </c>
      <c r="J43" s="4" t="s">
        <v>58</v>
      </c>
      <c r="K43">
        <v>90</v>
      </c>
      <c r="L43">
        <v>80</v>
      </c>
      <c r="M43" s="2">
        <f t="shared" si="2"/>
        <v>1</v>
      </c>
      <c r="N43" s="2">
        <f t="shared" si="3"/>
        <v>1</v>
      </c>
    </row>
    <row r="44" spans="1:14" x14ac:dyDescent="0.25">
      <c r="A44">
        <v>3.19</v>
      </c>
      <c r="B44" t="s">
        <v>228</v>
      </c>
      <c r="C44" t="s">
        <v>7</v>
      </c>
      <c r="D44" t="s">
        <v>52</v>
      </c>
      <c r="E44" t="s">
        <v>158</v>
      </c>
      <c r="F44" t="s">
        <v>229</v>
      </c>
      <c r="G44" t="s">
        <v>230</v>
      </c>
      <c r="H44" t="s">
        <v>231</v>
      </c>
      <c r="I44" t="s">
        <v>57</v>
      </c>
      <c r="J44" s="4" t="s">
        <v>58</v>
      </c>
      <c r="K44">
        <v>100</v>
      </c>
      <c r="L44">
        <v>100</v>
      </c>
      <c r="M44" s="2">
        <f t="shared" si="2"/>
        <v>0.88888888888888884</v>
      </c>
      <c r="N44" s="2">
        <f t="shared" si="3"/>
        <v>0.88888888888888884</v>
      </c>
    </row>
    <row r="45" spans="1:14" x14ac:dyDescent="0.25">
      <c r="A45" s="3">
        <v>3.2</v>
      </c>
      <c r="B45" t="s">
        <v>232</v>
      </c>
      <c r="C45" t="s">
        <v>7</v>
      </c>
      <c r="D45" t="s">
        <v>52</v>
      </c>
      <c r="E45" t="s">
        <v>167</v>
      </c>
      <c r="F45" t="s">
        <v>233</v>
      </c>
      <c r="G45" t="s">
        <v>234</v>
      </c>
      <c r="H45" t="s">
        <v>235</v>
      </c>
      <c r="I45" t="s">
        <v>65</v>
      </c>
      <c r="J45" s="4" t="s">
        <v>58</v>
      </c>
      <c r="K45">
        <v>95</v>
      </c>
      <c r="L45">
        <v>98</v>
      </c>
      <c r="M45" s="2">
        <f t="shared" si="2"/>
        <v>1</v>
      </c>
      <c r="N45" s="2">
        <f t="shared" si="3"/>
        <v>1</v>
      </c>
    </row>
    <row r="46" spans="1:14" x14ac:dyDescent="0.25">
      <c r="A46">
        <v>4.0999999999999996</v>
      </c>
      <c r="B46" t="s">
        <v>236</v>
      </c>
      <c r="C46" t="s">
        <v>9</v>
      </c>
      <c r="D46" t="s">
        <v>60</v>
      </c>
      <c r="E46" t="s">
        <v>213</v>
      </c>
      <c r="F46" t="s">
        <v>237</v>
      </c>
      <c r="G46" t="s">
        <v>238</v>
      </c>
      <c r="H46" t="s">
        <v>239</v>
      </c>
      <c r="I46" t="s">
        <v>65</v>
      </c>
      <c r="J46" s="4" t="s">
        <v>58</v>
      </c>
      <c r="K46">
        <v>12</v>
      </c>
      <c r="L46">
        <v>2</v>
      </c>
      <c r="M46" s="2">
        <f t="shared" si="2"/>
        <v>1.0315789473684212</v>
      </c>
      <c r="N46" s="2">
        <f t="shared" si="3"/>
        <v>1</v>
      </c>
    </row>
    <row r="47" spans="1:14" x14ac:dyDescent="0.25">
      <c r="A47">
        <v>4.2</v>
      </c>
      <c r="B47" t="s">
        <v>240</v>
      </c>
      <c r="C47" t="s">
        <v>9</v>
      </c>
      <c r="D47" t="s">
        <v>60</v>
      </c>
      <c r="E47" t="s">
        <v>213</v>
      </c>
      <c r="F47" t="s">
        <v>241</v>
      </c>
      <c r="G47" t="s">
        <v>242</v>
      </c>
      <c r="H47" t="s">
        <v>243</v>
      </c>
      <c r="I47" t="s">
        <v>65</v>
      </c>
      <c r="J47" s="4" t="s">
        <v>74</v>
      </c>
      <c r="K47">
        <v>7</v>
      </c>
      <c r="L47">
        <v>4</v>
      </c>
      <c r="M47" s="2">
        <f t="shared" ref="M47:M54" si="4">IFERROR(IF(D47="Positivo", L47/K47, IF(L47&lt;=K47, 1, K47/L47)), 0)</f>
        <v>1</v>
      </c>
      <c r="N47" s="2">
        <f t="shared" ref="N47:N54" si="5">IFERROR(IF(D47="Positivo", IF(L47&gt;=K47, 1, L47/K47), IF(L47&lt;=K47, 1, 0)), 0)</f>
        <v>1</v>
      </c>
    </row>
    <row r="48" spans="1:14" x14ac:dyDescent="0.25">
      <c r="A48">
        <v>4.3</v>
      </c>
      <c r="B48" t="s">
        <v>244</v>
      </c>
      <c r="C48" t="s">
        <v>9</v>
      </c>
      <c r="D48" t="s">
        <v>60</v>
      </c>
      <c r="E48" t="s">
        <v>213</v>
      </c>
      <c r="F48" t="s">
        <v>245</v>
      </c>
      <c r="G48" t="s">
        <v>246</v>
      </c>
      <c r="H48" t="s">
        <v>247</v>
      </c>
      <c r="I48" t="s">
        <v>65</v>
      </c>
      <c r="J48" s="4" t="s">
        <v>128</v>
      </c>
      <c r="K48">
        <v>250</v>
      </c>
      <c r="L48">
        <v>200</v>
      </c>
      <c r="M48" s="2">
        <f t="shared" si="4"/>
        <v>1</v>
      </c>
      <c r="N48" s="2">
        <f t="shared" si="5"/>
        <v>1</v>
      </c>
    </row>
    <row r="49" spans="1:14" x14ac:dyDescent="0.25">
      <c r="A49">
        <v>4.4000000000000004</v>
      </c>
      <c r="B49" t="s">
        <v>248</v>
      </c>
      <c r="C49" t="s">
        <v>9</v>
      </c>
      <c r="D49" t="s">
        <v>52</v>
      </c>
      <c r="E49" t="s">
        <v>158</v>
      </c>
      <c r="F49" t="s">
        <v>249</v>
      </c>
      <c r="G49" t="s">
        <v>250</v>
      </c>
      <c r="H49" t="s">
        <v>251</v>
      </c>
      <c r="I49" t="s">
        <v>57</v>
      </c>
      <c r="J49" s="4" t="s">
        <v>58</v>
      </c>
      <c r="K49">
        <v>80</v>
      </c>
      <c r="L49">
        <v>91.67</v>
      </c>
      <c r="M49" s="2">
        <f t="shared" si="4"/>
        <v>1.145875</v>
      </c>
      <c r="N49" s="2">
        <f t="shared" si="5"/>
        <v>1</v>
      </c>
    </row>
    <row r="50" spans="1:14" x14ac:dyDescent="0.25">
      <c r="A50">
        <v>4.5</v>
      </c>
      <c r="B50" t="s">
        <v>252</v>
      </c>
      <c r="C50" t="s">
        <v>9</v>
      </c>
      <c r="D50" t="s">
        <v>60</v>
      </c>
      <c r="E50" t="s">
        <v>213</v>
      </c>
      <c r="F50" t="s">
        <v>253</v>
      </c>
      <c r="G50" t="s">
        <v>254</v>
      </c>
      <c r="H50" t="s">
        <v>255</v>
      </c>
      <c r="I50" t="s">
        <v>65</v>
      </c>
      <c r="J50" s="4" t="s">
        <v>58</v>
      </c>
      <c r="K50">
        <v>12</v>
      </c>
      <c r="L50">
        <v>1.67</v>
      </c>
      <c r="M50" s="2">
        <f t="shared" si="4"/>
        <v>1</v>
      </c>
      <c r="N50" s="2">
        <f t="shared" si="5"/>
        <v>1</v>
      </c>
    </row>
    <row r="51" spans="1:14" x14ac:dyDescent="0.25">
      <c r="A51">
        <v>4.5999999999999996</v>
      </c>
      <c r="B51" t="s">
        <v>256</v>
      </c>
      <c r="C51" t="s">
        <v>9</v>
      </c>
      <c r="D51" t="s">
        <v>52</v>
      </c>
      <c r="E51" t="s">
        <v>158</v>
      </c>
      <c r="F51" t="s">
        <v>257</v>
      </c>
      <c r="G51" t="s">
        <v>258</v>
      </c>
      <c r="H51" t="s">
        <v>259</v>
      </c>
      <c r="I51" t="s">
        <v>57</v>
      </c>
      <c r="J51" s="4" t="s">
        <v>128</v>
      </c>
      <c r="K51">
        <v>4500</v>
      </c>
      <c r="L51">
        <v>5000</v>
      </c>
      <c r="M51" s="2">
        <f t="shared" si="4"/>
        <v>1.1111111111111112</v>
      </c>
      <c r="N51" s="2">
        <f t="shared" si="5"/>
        <v>1</v>
      </c>
    </row>
    <row r="52" spans="1:14" x14ac:dyDescent="0.25">
      <c r="A52">
        <v>4.7</v>
      </c>
      <c r="B52" t="s">
        <v>260</v>
      </c>
      <c r="C52" t="s">
        <v>9</v>
      </c>
      <c r="D52" t="s">
        <v>52</v>
      </c>
      <c r="E52" t="s">
        <v>167</v>
      </c>
      <c r="F52" t="s">
        <v>261</v>
      </c>
      <c r="G52" t="s">
        <v>262</v>
      </c>
      <c r="H52" t="s">
        <v>263</v>
      </c>
      <c r="I52" t="s">
        <v>57</v>
      </c>
      <c r="J52" s="4" t="s">
        <v>58</v>
      </c>
      <c r="K52">
        <v>80</v>
      </c>
      <c r="L52">
        <v>90</v>
      </c>
      <c r="M52" s="2">
        <f t="shared" si="4"/>
        <v>1.125</v>
      </c>
      <c r="N52" s="2">
        <f t="shared" si="5"/>
        <v>1</v>
      </c>
    </row>
    <row r="53" spans="1:14" x14ac:dyDescent="0.25">
      <c r="A53">
        <v>4.8</v>
      </c>
      <c r="B53" t="s">
        <v>264</v>
      </c>
      <c r="C53" t="s">
        <v>9</v>
      </c>
      <c r="D53" t="s">
        <v>60</v>
      </c>
      <c r="E53" t="s">
        <v>213</v>
      </c>
      <c r="F53" t="s">
        <v>265</v>
      </c>
      <c r="G53" t="s">
        <v>266</v>
      </c>
      <c r="H53" t="s">
        <v>267</v>
      </c>
      <c r="I53" t="s">
        <v>65</v>
      </c>
      <c r="J53" s="4" t="s">
        <v>128</v>
      </c>
      <c r="K53">
        <v>100</v>
      </c>
      <c r="L53">
        <v>80</v>
      </c>
      <c r="M53" s="2">
        <f t="shared" si="4"/>
        <v>1</v>
      </c>
      <c r="N53" s="2">
        <f t="shared" si="5"/>
        <v>1</v>
      </c>
    </row>
    <row r="54" spans="1:14" x14ac:dyDescent="0.25">
      <c r="A54">
        <v>4.9000000000000004</v>
      </c>
      <c r="B54" t="s">
        <v>268</v>
      </c>
      <c r="C54" t="s">
        <v>9</v>
      </c>
      <c r="D54" t="s">
        <v>52</v>
      </c>
      <c r="E54" t="s">
        <v>167</v>
      </c>
      <c r="F54" t="s">
        <v>269</v>
      </c>
      <c r="G54" t="s">
        <v>270</v>
      </c>
      <c r="H54" t="s">
        <v>271</v>
      </c>
      <c r="I54" t="s">
        <v>57</v>
      </c>
      <c r="J54" s="4" t="s">
        <v>87</v>
      </c>
      <c r="K54">
        <v>2</v>
      </c>
      <c r="L54">
        <v>2</v>
      </c>
      <c r="M54" s="2">
        <f t="shared" si="4"/>
        <v>1</v>
      </c>
      <c r="N54" s="2">
        <f t="shared" si="5"/>
        <v>1</v>
      </c>
    </row>
    <row r="55" spans="1:14" x14ac:dyDescent="0.25">
      <c r="A55">
        <v>5.0999999999999996</v>
      </c>
      <c r="B55" t="s">
        <v>272</v>
      </c>
      <c r="C55" t="s">
        <v>11</v>
      </c>
      <c r="D55" t="s">
        <v>52</v>
      </c>
      <c r="E55" t="s">
        <v>158</v>
      </c>
      <c r="F55" t="s">
        <v>273</v>
      </c>
      <c r="G55" t="s">
        <v>274</v>
      </c>
      <c r="H55" t="s">
        <v>275</v>
      </c>
      <c r="I55" t="s">
        <v>57</v>
      </c>
      <c r="J55" s="4" t="s">
        <v>128</v>
      </c>
      <c r="K55">
        <v>1000</v>
      </c>
      <c r="L55">
        <v>1100</v>
      </c>
      <c r="M55" s="2">
        <f>IFERROR(IF(#REF!="Positivo",#REF! /#REF!, IF(#REF!&lt;=#REF!, 1,#REF! /#REF!)), 0)</f>
        <v>0</v>
      </c>
      <c r="N55" s="2">
        <f>IFERROR(IF(#REF!="Positivo", IF(#REF!&gt;=#REF!, 1,#REF! /#REF!), IF(#REF!&lt;=#REF!, 1, 0)), 0)</f>
        <v>0</v>
      </c>
    </row>
    <row r="56" spans="1:14" x14ac:dyDescent="0.25">
      <c r="A56">
        <v>5.2</v>
      </c>
      <c r="B56" t="s">
        <v>276</v>
      </c>
      <c r="C56" t="s">
        <v>11</v>
      </c>
      <c r="D56" t="s">
        <v>52</v>
      </c>
      <c r="E56" t="s">
        <v>158</v>
      </c>
      <c r="F56" t="s">
        <v>277</v>
      </c>
      <c r="G56" t="s">
        <v>278</v>
      </c>
      <c r="H56" t="s">
        <v>279</v>
      </c>
      <c r="I56" t="s">
        <v>57</v>
      </c>
      <c r="J56" s="4" t="s">
        <v>58</v>
      </c>
      <c r="K56">
        <v>85</v>
      </c>
      <c r="L56">
        <v>81.8</v>
      </c>
      <c r="M56" s="2">
        <f t="shared" ref="M56:M87" si="6">IFERROR(IF(D55="Positivo", L55/K55, IF(L55&lt;=K55, 1, K55/L55)), 0)</f>
        <v>1.1000000000000001</v>
      </c>
      <c r="N56" s="2">
        <f t="shared" ref="N56:N87" si="7">IFERROR(IF(D55="Positivo", IF(L55&gt;=K55, 1, L55/K55), IF(L55&lt;=K55, 1, 0)), 0)</f>
        <v>1</v>
      </c>
    </row>
    <row r="57" spans="1:14" x14ac:dyDescent="0.25">
      <c r="A57">
        <v>5.3</v>
      </c>
      <c r="B57" t="s">
        <v>280</v>
      </c>
      <c r="C57" t="s">
        <v>11</v>
      </c>
      <c r="D57" t="s">
        <v>60</v>
      </c>
      <c r="E57" t="s">
        <v>213</v>
      </c>
      <c r="F57" t="s">
        <v>281</v>
      </c>
      <c r="G57" t="s">
        <v>282</v>
      </c>
      <c r="H57" t="s">
        <v>283</v>
      </c>
      <c r="I57" t="s">
        <v>65</v>
      </c>
      <c r="J57" s="4" t="s">
        <v>128</v>
      </c>
      <c r="K57">
        <v>250</v>
      </c>
      <c r="L57">
        <v>200</v>
      </c>
      <c r="M57" s="2">
        <f t="shared" si="6"/>
        <v>0.96235294117647052</v>
      </c>
      <c r="N57" s="2">
        <f t="shared" si="7"/>
        <v>0.96235294117647052</v>
      </c>
    </row>
    <row r="58" spans="1:14" x14ac:dyDescent="0.25">
      <c r="A58">
        <v>5.4</v>
      </c>
      <c r="B58" t="s">
        <v>284</v>
      </c>
      <c r="C58" t="s">
        <v>11</v>
      </c>
      <c r="D58" t="s">
        <v>52</v>
      </c>
      <c r="E58" t="s">
        <v>158</v>
      </c>
      <c r="F58" t="s">
        <v>285</v>
      </c>
      <c r="G58" t="s">
        <v>286</v>
      </c>
      <c r="H58" t="s">
        <v>287</v>
      </c>
      <c r="I58" t="s">
        <v>57</v>
      </c>
      <c r="J58" s="4" t="s">
        <v>128</v>
      </c>
      <c r="K58">
        <v>150</v>
      </c>
      <c r="L58">
        <v>160</v>
      </c>
      <c r="M58" s="2">
        <f t="shared" si="6"/>
        <v>1</v>
      </c>
      <c r="N58" s="2">
        <f t="shared" si="7"/>
        <v>1</v>
      </c>
    </row>
    <row r="59" spans="1:14" x14ac:dyDescent="0.25">
      <c r="A59">
        <v>5.5</v>
      </c>
      <c r="B59" t="s">
        <v>288</v>
      </c>
      <c r="C59" t="s">
        <v>11</v>
      </c>
      <c r="D59" t="s">
        <v>52</v>
      </c>
      <c r="E59" t="s">
        <v>158</v>
      </c>
      <c r="F59" t="s">
        <v>289</v>
      </c>
      <c r="G59" t="s">
        <v>290</v>
      </c>
      <c r="H59" t="s">
        <v>291</v>
      </c>
      <c r="I59" t="s">
        <v>57</v>
      </c>
      <c r="J59" s="4" t="s">
        <v>58</v>
      </c>
      <c r="K59">
        <v>7</v>
      </c>
      <c r="L59">
        <v>9.09</v>
      </c>
      <c r="M59" s="2">
        <f t="shared" si="6"/>
        <v>1.0666666666666667</v>
      </c>
      <c r="N59" s="2">
        <f t="shared" si="7"/>
        <v>1</v>
      </c>
    </row>
    <row r="60" spans="1:14" x14ac:dyDescent="0.25">
      <c r="A60">
        <v>5.6</v>
      </c>
      <c r="B60" t="s">
        <v>292</v>
      </c>
      <c r="C60" t="s">
        <v>11</v>
      </c>
      <c r="D60" t="s">
        <v>60</v>
      </c>
      <c r="E60" t="s">
        <v>213</v>
      </c>
      <c r="F60" t="s">
        <v>293</v>
      </c>
      <c r="G60" t="s">
        <v>294</v>
      </c>
      <c r="H60" t="s">
        <v>295</v>
      </c>
      <c r="I60" t="s">
        <v>65</v>
      </c>
      <c r="J60" s="4" t="s">
        <v>74</v>
      </c>
      <c r="K60">
        <v>3</v>
      </c>
      <c r="L60">
        <v>2</v>
      </c>
      <c r="M60" s="2">
        <f t="shared" si="6"/>
        <v>1.2985714285714285</v>
      </c>
      <c r="N60" s="2">
        <f t="shared" si="7"/>
        <v>1</v>
      </c>
    </row>
    <row r="61" spans="1:14" x14ac:dyDescent="0.25">
      <c r="A61">
        <v>5.7</v>
      </c>
      <c r="B61" t="s">
        <v>296</v>
      </c>
      <c r="C61" t="s">
        <v>11</v>
      </c>
      <c r="D61" t="s">
        <v>60</v>
      </c>
      <c r="E61" t="s">
        <v>213</v>
      </c>
      <c r="F61" t="s">
        <v>297</v>
      </c>
      <c r="G61" t="s">
        <v>298</v>
      </c>
      <c r="H61" t="s">
        <v>299</v>
      </c>
      <c r="I61" t="s">
        <v>65</v>
      </c>
      <c r="J61" s="4" t="s">
        <v>74</v>
      </c>
      <c r="K61">
        <v>5</v>
      </c>
      <c r="L61">
        <v>4</v>
      </c>
      <c r="M61" s="2">
        <f t="shared" si="6"/>
        <v>1</v>
      </c>
      <c r="N61" s="2">
        <f t="shared" si="7"/>
        <v>1</v>
      </c>
    </row>
    <row r="62" spans="1:14" x14ac:dyDescent="0.25">
      <c r="A62">
        <v>5.8</v>
      </c>
      <c r="B62" t="s">
        <v>300</v>
      </c>
      <c r="C62" t="s">
        <v>11</v>
      </c>
      <c r="D62" t="s">
        <v>52</v>
      </c>
      <c r="E62" t="s">
        <v>167</v>
      </c>
      <c r="F62" t="s">
        <v>301</v>
      </c>
      <c r="G62" t="s">
        <v>302</v>
      </c>
      <c r="H62" t="s">
        <v>303</v>
      </c>
      <c r="I62" t="s">
        <v>65</v>
      </c>
      <c r="J62" s="4" t="s">
        <v>58</v>
      </c>
      <c r="K62">
        <v>90</v>
      </c>
      <c r="L62">
        <v>66.67</v>
      </c>
      <c r="M62" s="2">
        <f t="shared" si="6"/>
        <v>1</v>
      </c>
      <c r="N62" s="2">
        <f t="shared" si="7"/>
        <v>1</v>
      </c>
    </row>
    <row r="63" spans="1:14" x14ac:dyDescent="0.25">
      <c r="A63">
        <v>5.9</v>
      </c>
      <c r="B63" t="s">
        <v>304</v>
      </c>
      <c r="C63" t="s">
        <v>11</v>
      </c>
      <c r="D63" t="s">
        <v>52</v>
      </c>
      <c r="E63" t="s">
        <v>158</v>
      </c>
      <c r="F63" t="s">
        <v>305</v>
      </c>
      <c r="G63" t="s">
        <v>306</v>
      </c>
      <c r="H63" t="s">
        <v>307</v>
      </c>
      <c r="I63" t="s">
        <v>57</v>
      </c>
      <c r="J63" s="4" t="s">
        <v>58</v>
      </c>
      <c r="K63">
        <v>80</v>
      </c>
      <c r="L63">
        <v>90</v>
      </c>
      <c r="M63" s="2">
        <f t="shared" si="6"/>
        <v>0.74077777777777776</v>
      </c>
      <c r="N63" s="2">
        <f t="shared" si="7"/>
        <v>0.74077777777777776</v>
      </c>
    </row>
    <row r="64" spans="1:14" x14ac:dyDescent="0.25">
      <c r="A64">
        <v>5.0999999999999996</v>
      </c>
      <c r="B64" t="s">
        <v>308</v>
      </c>
      <c r="C64" t="s">
        <v>11</v>
      </c>
      <c r="D64" t="s">
        <v>52</v>
      </c>
      <c r="E64" t="s">
        <v>158</v>
      </c>
      <c r="F64" t="s">
        <v>309</v>
      </c>
      <c r="G64" t="s">
        <v>310</v>
      </c>
      <c r="H64" t="s">
        <v>311</v>
      </c>
      <c r="I64" t="s">
        <v>57</v>
      </c>
      <c r="J64" s="4" t="s">
        <v>87</v>
      </c>
      <c r="K64">
        <v>4</v>
      </c>
      <c r="L64">
        <v>6</v>
      </c>
      <c r="M64" s="2">
        <f t="shared" si="6"/>
        <v>1.125</v>
      </c>
      <c r="N64" s="2">
        <f t="shared" si="7"/>
        <v>1</v>
      </c>
    </row>
    <row r="65" spans="1:14" x14ac:dyDescent="0.25">
      <c r="A65">
        <v>5.1100000000000003</v>
      </c>
      <c r="B65" t="s">
        <v>312</v>
      </c>
      <c r="C65" t="s">
        <v>11</v>
      </c>
      <c r="D65" t="s">
        <v>52</v>
      </c>
      <c r="E65" t="s">
        <v>158</v>
      </c>
      <c r="F65" t="s">
        <v>313</v>
      </c>
      <c r="G65" t="s">
        <v>314</v>
      </c>
      <c r="H65" t="s">
        <v>315</v>
      </c>
      <c r="I65" t="s">
        <v>57</v>
      </c>
      <c r="J65" s="4" t="s">
        <v>58</v>
      </c>
      <c r="K65">
        <v>80</v>
      </c>
      <c r="L65">
        <v>90</v>
      </c>
      <c r="M65" s="2">
        <f t="shared" si="6"/>
        <v>1.5</v>
      </c>
      <c r="N65" s="2">
        <f t="shared" si="7"/>
        <v>1</v>
      </c>
    </row>
    <row r="66" spans="1:14" x14ac:dyDescent="0.25">
      <c r="A66">
        <v>5.12</v>
      </c>
      <c r="B66" t="s">
        <v>316</v>
      </c>
      <c r="C66" t="s">
        <v>11</v>
      </c>
      <c r="D66" t="s">
        <v>60</v>
      </c>
      <c r="E66" t="s">
        <v>213</v>
      </c>
      <c r="F66" t="s">
        <v>317</v>
      </c>
      <c r="G66" t="s">
        <v>318</v>
      </c>
      <c r="H66" t="s">
        <v>319</v>
      </c>
      <c r="I66" t="s">
        <v>65</v>
      </c>
      <c r="J66" s="4" t="s">
        <v>58</v>
      </c>
      <c r="K66">
        <v>10</v>
      </c>
      <c r="L66">
        <v>5</v>
      </c>
      <c r="M66" s="2">
        <f t="shared" si="6"/>
        <v>1.125</v>
      </c>
      <c r="N66" s="2">
        <f t="shared" si="7"/>
        <v>1</v>
      </c>
    </row>
    <row r="67" spans="1:14" x14ac:dyDescent="0.25">
      <c r="A67">
        <v>5.13</v>
      </c>
      <c r="B67" t="s">
        <v>320</v>
      </c>
      <c r="C67" t="s">
        <v>11</v>
      </c>
      <c r="D67" t="s">
        <v>60</v>
      </c>
      <c r="E67" t="s">
        <v>213</v>
      </c>
      <c r="F67" t="s">
        <v>321</v>
      </c>
      <c r="G67" t="s">
        <v>322</v>
      </c>
      <c r="H67" t="s">
        <v>323</v>
      </c>
      <c r="I67" t="s">
        <v>65</v>
      </c>
      <c r="J67" s="4" t="s">
        <v>74</v>
      </c>
      <c r="K67">
        <v>2</v>
      </c>
      <c r="L67">
        <v>1.2</v>
      </c>
      <c r="M67" s="2">
        <f t="shared" si="6"/>
        <v>1</v>
      </c>
      <c r="N67" s="2">
        <f t="shared" si="7"/>
        <v>1</v>
      </c>
    </row>
    <row r="68" spans="1:14" x14ac:dyDescent="0.25">
      <c r="A68">
        <v>5.14</v>
      </c>
      <c r="B68" t="s">
        <v>324</v>
      </c>
      <c r="C68" t="s">
        <v>11</v>
      </c>
      <c r="D68" t="s">
        <v>52</v>
      </c>
      <c r="E68" t="s">
        <v>158</v>
      </c>
      <c r="F68" t="s">
        <v>325</v>
      </c>
      <c r="G68" t="s">
        <v>326</v>
      </c>
      <c r="H68" t="s">
        <v>327</v>
      </c>
      <c r="I68" t="s">
        <v>57</v>
      </c>
      <c r="J68" s="4" t="s">
        <v>87</v>
      </c>
      <c r="K68">
        <v>2</v>
      </c>
      <c r="L68">
        <v>5</v>
      </c>
      <c r="M68" s="2">
        <f t="shared" si="6"/>
        <v>1</v>
      </c>
      <c r="N68" s="2">
        <f t="shared" si="7"/>
        <v>1</v>
      </c>
    </row>
    <row r="69" spans="1:14" x14ac:dyDescent="0.25">
      <c r="A69">
        <v>5.15</v>
      </c>
      <c r="B69" t="s">
        <v>328</v>
      </c>
      <c r="C69" t="s">
        <v>11</v>
      </c>
      <c r="D69" t="s">
        <v>52</v>
      </c>
      <c r="E69" t="s">
        <v>158</v>
      </c>
      <c r="F69" t="s">
        <v>329</v>
      </c>
      <c r="G69" t="s">
        <v>330</v>
      </c>
      <c r="H69" t="s">
        <v>331</v>
      </c>
      <c r="I69" t="s">
        <v>57</v>
      </c>
      <c r="J69" s="4" t="s">
        <v>87</v>
      </c>
      <c r="K69">
        <v>2</v>
      </c>
      <c r="L69">
        <v>3</v>
      </c>
      <c r="M69" s="2">
        <f t="shared" si="6"/>
        <v>2.5</v>
      </c>
      <c r="N69" s="2">
        <f t="shared" si="7"/>
        <v>1</v>
      </c>
    </row>
    <row r="70" spans="1:14" x14ac:dyDescent="0.25">
      <c r="A70">
        <v>5.16</v>
      </c>
      <c r="B70" t="s">
        <v>332</v>
      </c>
      <c r="C70" t="s">
        <v>11</v>
      </c>
      <c r="D70" t="s">
        <v>52</v>
      </c>
      <c r="E70" t="s">
        <v>158</v>
      </c>
      <c r="F70" t="s">
        <v>333</v>
      </c>
      <c r="G70" t="s">
        <v>334</v>
      </c>
      <c r="H70" t="s">
        <v>335</v>
      </c>
      <c r="I70" t="s">
        <v>57</v>
      </c>
      <c r="J70" s="4" t="s">
        <v>58</v>
      </c>
      <c r="K70">
        <v>80</v>
      </c>
      <c r="L70">
        <v>95</v>
      </c>
      <c r="M70" s="2">
        <f t="shared" si="6"/>
        <v>1.5</v>
      </c>
      <c r="N70" s="2">
        <f t="shared" si="7"/>
        <v>1</v>
      </c>
    </row>
    <row r="71" spans="1:14" x14ac:dyDescent="0.25">
      <c r="A71">
        <v>5.17</v>
      </c>
      <c r="B71" t="s">
        <v>336</v>
      </c>
      <c r="C71" t="s">
        <v>11</v>
      </c>
      <c r="D71" t="s">
        <v>52</v>
      </c>
      <c r="E71" t="s">
        <v>158</v>
      </c>
      <c r="F71" t="s">
        <v>337</v>
      </c>
      <c r="G71" t="s">
        <v>338</v>
      </c>
      <c r="H71" t="s">
        <v>339</v>
      </c>
      <c r="I71" t="s">
        <v>57</v>
      </c>
      <c r="J71" s="4" t="s">
        <v>58</v>
      </c>
      <c r="K71">
        <v>80</v>
      </c>
      <c r="L71">
        <v>92</v>
      </c>
      <c r="M71" s="2">
        <f t="shared" si="6"/>
        <v>1.1875</v>
      </c>
      <c r="N71" s="2">
        <f t="shared" si="7"/>
        <v>1</v>
      </c>
    </row>
    <row r="72" spans="1:14" x14ac:dyDescent="0.25">
      <c r="A72">
        <v>5.18</v>
      </c>
      <c r="B72" t="s">
        <v>340</v>
      </c>
      <c r="C72" t="s">
        <v>11</v>
      </c>
      <c r="D72" t="s">
        <v>52</v>
      </c>
      <c r="E72" t="s">
        <v>158</v>
      </c>
      <c r="F72" t="s">
        <v>341</v>
      </c>
      <c r="G72" t="s">
        <v>342</v>
      </c>
      <c r="H72" t="s">
        <v>343</v>
      </c>
      <c r="I72" t="s">
        <v>57</v>
      </c>
      <c r="J72" s="4" t="s">
        <v>344</v>
      </c>
      <c r="K72">
        <v>8</v>
      </c>
      <c r="L72">
        <v>9.1999999999999993</v>
      </c>
      <c r="M72" s="2">
        <f t="shared" si="6"/>
        <v>1.1499999999999999</v>
      </c>
      <c r="N72" s="2">
        <f t="shared" si="7"/>
        <v>1</v>
      </c>
    </row>
    <row r="73" spans="1:14" x14ac:dyDescent="0.25">
      <c r="A73">
        <v>5.19</v>
      </c>
      <c r="B73" t="s">
        <v>345</v>
      </c>
      <c r="C73" t="s">
        <v>11</v>
      </c>
      <c r="D73" t="s">
        <v>52</v>
      </c>
      <c r="E73" t="s">
        <v>158</v>
      </c>
      <c r="F73" t="s">
        <v>346</v>
      </c>
      <c r="G73" t="s">
        <v>347</v>
      </c>
      <c r="H73" t="s">
        <v>348</v>
      </c>
      <c r="I73" t="s">
        <v>57</v>
      </c>
      <c r="J73" s="4" t="s">
        <v>87</v>
      </c>
      <c r="K73">
        <v>4</v>
      </c>
      <c r="L73">
        <v>6</v>
      </c>
      <c r="M73" s="2">
        <f t="shared" si="6"/>
        <v>1.1499999999999999</v>
      </c>
      <c r="N73" s="2">
        <f t="shared" si="7"/>
        <v>1</v>
      </c>
    </row>
    <row r="74" spans="1:14" x14ac:dyDescent="0.25">
      <c r="A74" s="3">
        <v>5.2</v>
      </c>
      <c r="B74" t="s">
        <v>349</v>
      </c>
      <c r="C74" t="s">
        <v>11</v>
      </c>
      <c r="D74" t="s">
        <v>52</v>
      </c>
      <c r="E74" t="s">
        <v>158</v>
      </c>
      <c r="F74" t="s">
        <v>350</v>
      </c>
      <c r="G74" t="s">
        <v>351</v>
      </c>
      <c r="H74" t="s">
        <v>352</v>
      </c>
      <c r="I74" t="s">
        <v>57</v>
      </c>
      <c r="J74" s="4" t="s">
        <v>58</v>
      </c>
      <c r="K74">
        <v>80</v>
      </c>
      <c r="L74">
        <v>95</v>
      </c>
      <c r="M74" s="2">
        <f t="shared" si="6"/>
        <v>1.5</v>
      </c>
      <c r="N74" s="2">
        <f t="shared" si="7"/>
        <v>1</v>
      </c>
    </row>
    <row r="75" spans="1:14" x14ac:dyDescent="0.25">
      <c r="A75">
        <v>6.1</v>
      </c>
      <c r="B75" t="s">
        <v>353</v>
      </c>
      <c r="C75" t="s">
        <v>354</v>
      </c>
      <c r="D75" t="s">
        <v>52</v>
      </c>
      <c r="E75" t="s">
        <v>158</v>
      </c>
      <c r="F75" t="s">
        <v>355</v>
      </c>
      <c r="G75" t="s">
        <v>356</v>
      </c>
      <c r="H75" t="s">
        <v>357</v>
      </c>
      <c r="I75" t="s">
        <v>57</v>
      </c>
      <c r="J75" s="4" t="s">
        <v>58</v>
      </c>
      <c r="K75">
        <v>90</v>
      </c>
      <c r="L75">
        <v>100</v>
      </c>
      <c r="M75" s="2">
        <f t="shared" si="6"/>
        <v>1.1875</v>
      </c>
      <c r="N75" s="2">
        <f t="shared" si="7"/>
        <v>1</v>
      </c>
    </row>
    <row r="76" spans="1:14" x14ac:dyDescent="0.25">
      <c r="A76">
        <v>6.2</v>
      </c>
      <c r="B76" t="s">
        <v>358</v>
      </c>
      <c r="C76" t="s">
        <v>354</v>
      </c>
      <c r="D76" t="s">
        <v>52</v>
      </c>
      <c r="E76" t="s">
        <v>167</v>
      </c>
      <c r="F76" t="s">
        <v>359</v>
      </c>
      <c r="G76" t="s">
        <v>360</v>
      </c>
      <c r="H76" t="s">
        <v>361</v>
      </c>
      <c r="I76" t="s">
        <v>65</v>
      </c>
      <c r="J76" s="4" t="s">
        <v>58</v>
      </c>
      <c r="K76">
        <v>100</v>
      </c>
      <c r="L76">
        <v>80</v>
      </c>
      <c r="M76" s="2">
        <f t="shared" si="6"/>
        <v>1.1111111111111112</v>
      </c>
      <c r="N76" s="2">
        <f t="shared" si="7"/>
        <v>1</v>
      </c>
    </row>
    <row r="77" spans="1:14" x14ac:dyDescent="0.25">
      <c r="A77">
        <v>6.3</v>
      </c>
      <c r="B77" t="s">
        <v>362</v>
      </c>
      <c r="C77" t="s">
        <v>354</v>
      </c>
      <c r="D77" t="s">
        <v>52</v>
      </c>
      <c r="E77" t="s">
        <v>167</v>
      </c>
      <c r="F77" t="s">
        <v>363</v>
      </c>
      <c r="G77" t="s">
        <v>364</v>
      </c>
      <c r="H77" t="s">
        <v>365</v>
      </c>
      <c r="I77" t="s">
        <v>65</v>
      </c>
      <c r="J77" s="4" t="s">
        <v>87</v>
      </c>
      <c r="K77">
        <v>2</v>
      </c>
      <c r="L77">
        <v>3</v>
      </c>
      <c r="M77" s="2">
        <f t="shared" si="6"/>
        <v>0.8</v>
      </c>
      <c r="N77" s="2">
        <f t="shared" si="7"/>
        <v>0.8</v>
      </c>
    </row>
    <row r="78" spans="1:14" x14ac:dyDescent="0.25">
      <c r="A78">
        <v>6.4</v>
      </c>
      <c r="B78" t="s">
        <v>366</v>
      </c>
      <c r="C78" t="s">
        <v>354</v>
      </c>
      <c r="D78" t="s">
        <v>52</v>
      </c>
      <c r="E78" t="s">
        <v>167</v>
      </c>
      <c r="F78" t="s">
        <v>367</v>
      </c>
      <c r="G78" t="s">
        <v>368</v>
      </c>
      <c r="H78" t="s">
        <v>369</v>
      </c>
      <c r="I78" t="s">
        <v>65</v>
      </c>
      <c r="J78" s="4" t="s">
        <v>58</v>
      </c>
      <c r="K78">
        <v>100</v>
      </c>
      <c r="L78">
        <v>75</v>
      </c>
      <c r="M78" s="2">
        <f t="shared" si="6"/>
        <v>1.5</v>
      </c>
      <c r="N78" s="2">
        <f t="shared" si="7"/>
        <v>1</v>
      </c>
    </row>
    <row r="79" spans="1:14" x14ac:dyDescent="0.25">
      <c r="A79">
        <v>6.5</v>
      </c>
      <c r="B79" t="s">
        <v>370</v>
      </c>
      <c r="C79" t="s">
        <v>354</v>
      </c>
      <c r="D79" t="s">
        <v>52</v>
      </c>
      <c r="E79" t="s">
        <v>158</v>
      </c>
      <c r="F79" t="s">
        <v>371</v>
      </c>
      <c r="G79" t="s">
        <v>372</v>
      </c>
      <c r="H79" t="s">
        <v>373</v>
      </c>
      <c r="I79" t="s">
        <v>57</v>
      </c>
      <c r="J79" s="4" t="s">
        <v>58</v>
      </c>
      <c r="K79">
        <v>80</v>
      </c>
      <c r="L79">
        <v>50</v>
      </c>
      <c r="M79" s="2">
        <f t="shared" si="6"/>
        <v>0.75</v>
      </c>
      <c r="N79" s="2">
        <f t="shared" si="7"/>
        <v>0.75</v>
      </c>
    </row>
    <row r="80" spans="1:14" x14ac:dyDescent="0.25">
      <c r="A80">
        <v>6.6</v>
      </c>
      <c r="B80" t="s">
        <v>374</v>
      </c>
      <c r="C80" t="s">
        <v>354</v>
      </c>
      <c r="D80" t="s">
        <v>52</v>
      </c>
      <c r="E80" t="s">
        <v>167</v>
      </c>
      <c r="F80" t="s">
        <v>375</v>
      </c>
      <c r="G80" t="s">
        <v>376</v>
      </c>
      <c r="H80" t="s">
        <v>377</v>
      </c>
      <c r="I80" t="s">
        <v>65</v>
      </c>
      <c r="J80" s="4" t="s">
        <v>58</v>
      </c>
      <c r="K80">
        <v>90</v>
      </c>
      <c r="L80">
        <v>90</v>
      </c>
      <c r="M80" s="2">
        <f t="shared" si="6"/>
        <v>0.625</v>
      </c>
      <c r="N80" s="2">
        <f t="shared" si="7"/>
        <v>0.625</v>
      </c>
    </row>
    <row r="81" spans="1:14" x14ac:dyDescent="0.25">
      <c r="A81">
        <v>7.1</v>
      </c>
      <c r="B81" t="s">
        <v>378</v>
      </c>
      <c r="C81" t="s">
        <v>15</v>
      </c>
      <c r="D81" t="s">
        <v>52</v>
      </c>
      <c r="E81" t="s">
        <v>167</v>
      </c>
      <c r="F81" t="s">
        <v>379</v>
      </c>
      <c r="G81" t="s">
        <v>380</v>
      </c>
      <c r="H81" t="s">
        <v>381</v>
      </c>
      <c r="I81" t="s">
        <v>65</v>
      </c>
      <c r="J81" s="4" t="s">
        <v>58</v>
      </c>
      <c r="K81">
        <v>90</v>
      </c>
      <c r="L81">
        <v>95</v>
      </c>
      <c r="M81" s="2">
        <f t="shared" si="6"/>
        <v>1</v>
      </c>
      <c r="N81" s="2">
        <f t="shared" si="7"/>
        <v>1</v>
      </c>
    </row>
    <row r="82" spans="1:14" x14ac:dyDescent="0.25">
      <c r="A82">
        <v>7.2</v>
      </c>
      <c r="B82" t="s">
        <v>382</v>
      </c>
      <c r="C82" t="s">
        <v>15</v>
      </c>
      <c r="D82" t="s">
        <v>52</v>
      </c>
      <c r="E82" t="s">
        <v>167</v>
      </c>
      <c r="F82" t="s">
        <v>383</v>
      </c>
      <c r="G82" t="s">
        <v>384</v>
      </c>
      <c r="H82" t="s">
        <v>385</v>
      </c>
      <c r="I82" t="s">
        <v>65</v>
      </c>
      <c r="J82" s="4" t="s">
        <v>58</v>
      </c>
      <c r="K82">
        <v>95</v>
      </c>
      <c r="L82">
        <v>96</v>
      </c>
      <c r="M82" s="2">
        <f t="shared" si="6"/>
        <v>1.0555555555555556</v>
      </c>
      <c r="N82" s="2">
        <f t="shared" si="7"/>
        <v>1</v>
      </c>
    </row>
    <row r="83" spans="1:14" x14ac:dyDescent="0.25">
      <c r="A83">
        <v>7.3</v>
      </c>
      <c r="B83" t="s">
        <v>386</v>
      </c>
      <c r="C83" t="s">
        <v>15</v>
      </c>
      <c r="D83" t="s">
        <v>52</v>
      </c>
      <c r="E83" t="s">
        <v>167</v>
      </c>
      <c r="F83" t="s">
        <v>387</v>
      </c>
      <c r="G83" t="s">
        <v>388</v>
      </c>
      <c r="H83" t="s">
        <v>389</v>
      </c>
      <c r="I83" t="s">
        <v>65</v>
      </c>
      <c r="J83" s="4" t="s">
        <v>58</v>
      </c>
      <c r="K83">
        <v>95</v>
      </c>
      <c r="L83">
        <v>90</v>
      </c>
      <c r="M83" s="2">
        <f t="shared" si="6"/>
        <v>1.0105263157894737</v>
      </c>
      <c r="N83" s="2">
        <f t="shared" si="7"/>
        <v>1</v>
      </c>
    </row>
    <row r="84" spans="1:14" x14ac:dyDescent="0.25">
      <c r="A84">
        <v>7.4</v>
      </c>
      <c r="B84" t="s">
        <v>390</v>
      </c>
      <c r="C84" t="s">
        <v>15</v>
      </c>
      <c r="D84" t="s">
        <v>52</v>
      </c>
      <c r="E84" t="s">
        <v>167</v>
      </c>
      <c r="F84" t="s">
        <v>391</v>
      </c>
      <c r="G84" t="s">
        <v>392</v>
      </c>
      <c r="H84" t="s">
        <v>393</v>
      </c>
      <c r="I84" t="s">
        <v>65</v>
      </c>
      <c r="J84" s="4" t="s">
        <v>58</v>
      </c>
      <c r="K84">
        <v>98</v>
      </c>
      <c r="L84">
        <v>97.5</v>
      </c>
      <c r="M84" s="2">
        <f t="shared" si="6"/>
        <v>0.94736842105263153</v>
      </c>
      <c r="N84" s="2">
        <f t="shared" si="7"/>
        <v>0.94736842105263153</v>
      </c>
    </row>
    <row r="85" spans="1:14" x14ac:dyDescent="0.25">
      <c r="A85">
        <v>7.5</v>
      </c>
      <c r="B85" t="s">
        <v>394</v>
      </c>
      <c r="C85" t="s">
        <v>15</v>
      </c>
      <c r="D85" t="s">
        <v>52</v>
      </c>
      <c r="E85" t="s">
        <v>395</v>
      </c>
      <c r="F85" t="s">
        <v>396</v>
      </c>
      <c r="G85" t="s">
        <v>397</v>
      </c>
      <c r="H85" t="s">
        <v>398</v>
      </c>
      <c r="I85" t="s">
        <v>57</v>
      </c>
      <c r="J85" s="4" t="s">
        <v>58</v>
      </c>
      <c r="K85">
        <v>100</v>
      </c>
      <c r="L85">
        <v>100</v>
      </c>
      <c r="M85" s="2">
        <f t="shared" si="6"/>
        <v>0.99489795918367352</v>
      </c>
      <c r="N85" s="2">
        <f t="shared" si="7"/>
        <v>0.99489795918367352</v>
      </c>
    </row>
    <row r="86" spans="1:14" x14ac:dyDescent="0.25">
      <c r="A86">
        <v>7.6</v>
      </c>
      <c r="B86" t="s">
        <v>399</v>
      </c>
      <c r="C86" t="s">
        <v>15</v>
      </c>
      <c r="D86" t="s">
        <v>52</v>
      </c>
      <c r="E86" t="s">
        <v>395</v>
      </c>
      <c r="F86" t="s">
        <v>400</v>
      </c>
      <c r="G86" t="s">
        <v>401</v>
      </c>
      <c r="H86" t="s">
        <v>402</v>
      </c>
      <c r="I86" t="s">
        <v>57</v>
      </c>
      <c r="J86" s="4" t="s">
        <v>58</v>
      </c>
      <c r="K86">
        <v>90</v>
      </c>
      <c r="L86">
        <v>90</v>
      </c>
      <c r="M86" s="2">
        <f t="shared" si="6"/>
        <v>1</v>
      </c>
      <c r="N86" s="2">
        <f t="shared" si="7"/>
        <v>1</v>
      </c>
    </row>
    <row r="87" spans="1:14" x14ac:dyDescent="0.25">
      <c r="A87">
        <v>8.1</v>
      </c>
      <c r="B87" t="s">
        <v>403</v>
      </c>
      <c r="C87" t="s">
        <v>17</v>
      </c>
      <c r="D87" t="s">
        <v>52</v>
      </c>
      <c r="E87" t="s">
        <v>395</v>
      </c>
      <c r="F87" t="s">
        <v>404</v>
      </c>
      <c r="G87" t="s">
        <v>405</v>
      </c>
      <c r="H87" t="s">
        <v>406</v>
      </c>
      <c r="I87" t="s">
        <v>57</v>
      </c>
      <c r="J87" s="4" t="s">
        <v>58</v>
      </c>
      <c r="K87">
        <v>100</v>
      </c>
      <c r="L87">
        <v>90</v>
      </c>
      <c r="M87" s="2">
        <f t="shared" si="6"/>
        <v>1</v>
      </c>
      <c r="N87" s="2">
        <f t="shared" si="7"/>
        <v>1</v>
      </c>
    </row>
    <row r="88" spans="1:14" x14ac:dyDescent="0.25">
      <c r="A88">
        <v>8.1999999999999993</v>
      </c>
      <c r="B88" t="s">
        <v>407</v>
      </c>
      <c r="C88" t="s">
        <v>17</v>
      </c>
      <c r="D88" t="s">
        <v>52</v>
      </c>
      <c r="E88" t="s">
        <v>167</v>
      </c>
      <c r="F88" t="s">
        <v>408</v>
      </c>
      <c r="G88" t="s">
        <v>409</v>
      </c>
      <c r="H88" t="s">
        <v>410</v>
      </c>
      <c r="I88" t="s">
        <v>65</v>
      </c>
      <c r="J88" s="4" t="s">
        <v>58</v>
      </c>
      <c r="K88">
        <v>100</v>
      </c>
      <c r="L88">
        <v>83.33</v>
      </c>
      <c r="M88" s="2">
        <f t="shared" ref="M88:M119" si="8">IFERROR(IF(D87="Positivo", L87/K87, IF(L87&lt;=K87, 1, K87/L87)), 0)</f>
        <v>0.9</v>
      </c>
      <c r="N88" s="2">
        <f t="shared" ref="N88:N119" si="9">IFERROR(IF(D87="Positivo", IF(L87&gt;=K87, 1, L87/K87), IF(L87&lt;=K87, 1, 0)), 0)</f>
        <v>0.9</v>
      </c>
    </row>
    <row r="89" spans="1:14" x14ac:dyDescent="0.25">
      <c r="A89">
        <v>8.3000000000000007</v>
      </c>
      <c r="B89" t="s">
        <v>411</v>
      </c>
      <c r="C89" t="s">
        <v>17</v>
      </c>
      <c r="D89" t="s">
        <v>52</v>
      </c>
      <c r="E89" t="s">
        <v>395</v>
      </c>
      <c r="F89" t="s">
        <v>412</v>
      </c>
      <c r="G89" t="s">
        <v>413</v>
      </c>
      <c r="H89" t="s">
        <v>414</v>
      </c>
      <c r="I89" t="s">
        <v>57</v>
      </c>
      <c r="J89" s="4" t="s">
        <v>58</v>
      </c>
      <c r="K89">
        <v>100</v>
      </c>
      <c r="L89">
        <v>80</v>
      </c>
      <c r="M89" s="2">
        <f t="shared" si="8"/>
        <v>0.83329999999999993</v>
      </c>
      <c r="N89" s="2">
        <f t="shared" si="9"/>
        <v>0.83329999999999993</v>
      </c>
    </row>
    <row r="90" spans="1:14" x14ac:dyDescent="0.25">
      <c r="A90">
        <v>8.4</v>
      </c>
      <c r="B90" t="s">
        <v>415</v>
      </c>
      <c r="C90" t="s">
        <v>17</v>
      </c>
      <c r="D90" t="s">
        <v>52</v>
      </c>
      <c r="E90" t="s">
        <v>167</v>
      </c>
      <c r="F90" t="s">
        <v>416</v>
      </c>
      <c r="G90" t="s">
        <v>417</v>
      </c>
      <c r="H90" t="s">
        <v>418</v>
      </c>
      <c r="I90" t="s">
        <v>65</v>
      </c>
      <c r="J90" s="4" t="s">
        <v>58</v>
      </c>
      <c r="K90">
        <v>95</v>
      </c>
      <c r="L90">
        <v>95</v>
      </c>
      <c r="M90" s="2">
        <f t="shared" si="8"/>
        <v>0.8</v>
      </c>
      <c r="N90" s="2">
        <f t="shared" si="9"/>
        <v>0.8</v>
      </c>
    </row>
    <row r="91" spans="1:14" x14ac:dyDescent="0.25">
      <c r="A91">
        <v>8.5</v>
      </c>
      <c r="B91" t="s">
        <v>419</v>
      </c>
      <c r="C91" t="s">
        <v>17</v>
      </c>
      <c r="D91" t="s">
        <v>52</v>
      </c>
      <c r="E91" t="s">
        <v>167</v>
      </c>
      <c r="F91" t="s">
        <v>420</v>
      </c>
      <c r="G91" t="s">
        <v>421</v>
      </c>
      <c r="H91" t="s">
        <v>422</v>
      </c>
      <c r="I91" t="s">
        <v>65</v>
      </c>
      <c r="J91" s="4" t="s">
        <v>58</v>
      </c>
      <c r="K91">
        <v>100</v>
      </c>
      <c r="L91">
        <v>90</v>
      </c>
      <c r="M91" s="2">
        <f t="shared" si="8"/>
        <v>1</v>
      </c>
      <c r="N91" s="2">
        <f t="shared" si="9"/>
        <v>1</v>
      </c>
    </row>
    <row r="92" spans="1:14" x14ac:dyDescent="0.25">
      <c r="A92">
        <v>8.6</v>
      </c>
      <c r="B92" t="s">
        <v>423</v>
      </c>
      <c r="C92" t="s">
        <v>17</v>
      </c>
      <c r="D92" t="s">
        <v>52</v>
      </c>
      <c r="E92" t="s">
        <v>167</v>
      </c>
      <c r="F92" t="s">
        <v>424</v>
      </c>
      <c r="G92" t="s">
        <v>425</v>
      </c>
      <c r="H92" t="s">
        <v>426</v>
      </c>
      <c r="I92" t="s">
        <v>65</v>
      </c>
      <c r="J92" s="4" t="s">
        <v>58</v>
      </c>
      <c r="K92">
        <v>90</v>
      </c>
      <c r="L92">
        <v>80</v>
      </c>
      <c r="M92" s="2">
        <f t="shared" si="8"/>
        <v>0.9</v>
      </c>
      <c r="N92" s="2">
        <f t="shared" si="9"/>
        <v>0.9</v>
      </c>
    </row>
    <row r="93" spans="1:14" x14ac:dyDescent="0.25">
      <c r="A93">
        <v>9.1</v>
      </c>
      <c r="B93" t="s">
        <v>427</v>
      </c>
      <c r="C93" t="s">
        <v>19</v>
      </c>
      <c r="D93" t="s">
        <v>60</v>
      </c>
      <c r="E93" t="s">
        <v>213</v>
      </c>
      <c r="F93" t="s">
        <v>428</v>
      </c>
      <c r="G93" t="s">
        <v>429</v>
      </c>
      <c r="H93" t="s">
        <v>430</v>
      </c>
      <c r="I93" t="s">
        <v>65</v>
      </c>
      <c r="J93" s="4" t="s">
        <v>58</v>
      </c>
      <c r="K93">
        <v>12</v>
      </c>
      <c r="L93">
        <v>0</v>
      </c>
      <c r="M93" s="2">
        <f t="shared" si="8"/>
        <v>0.88888888888888884</v>
      </c>
      <c r="N93" s="2">
        <f t="shared" si="9"/>
        <v>0.88888888888888884</v>
      </c>
    </row>
    <row r="94" spans="1:14" x14ac:dyDescent="0.25">
      <c r="A94">
        <v>9.1999999999999993</v>
      </c>
      <c r="B94" t="s">
        <v>431</v>
      </c>
      <c r="C94" t="s">
        <v>19</v>
      </c>
      <c r="D94" t="s">
        <v>52</v>
      </c>
      <c r="E94" t="s">
        <v>158</v>
      </c>
      <c r="F94" t="s">
        <v>432</v>
      </c>
      <c r="G94" t="s">
        <v>433</v>
      </c>
      <c r="H94" t="s">
        <v>434</v>
      </c>
      <c r="I94" t="s">
        <v>57</v>
      </c>
      <c r="J94" s="4" t="s">
        <v>87</v>
      </c>
      <c r="K94">
        <v>80</v>
      </c>
      <c r="L94">
        <v>80</v>
      </c>
      <c r="M94" s="2">
        <f t="shared" si="8"/>
        <v>1</v>
      </c>
      <c r="N94" s="2">
        <f t="shared" si="9"/>
        <v>1</v>
      </c>
    </row>
    <row r="95" spans="1:14" x14ac:dyDescent="0.25">
      <c r="A95">
        <v>9.3000000000000007</v>
      </c>
      <c r="B95" t="s">
        <v>435</v>
      </c>
      <c r="C95" t="s">
        <v>19</v>
      </c>
      <c r="D95" t="s">
        <v>52</v>
      </c>
      <c r="E95" t="s">
        <v>158</v>
      </c>
      <c r="F95" t="s">
        <v>436</v>
      </c>
      <c r="G95" t="s">
        <v>437</v>
      </c>
      <c r="H95" t="s">
        <v>438</v>
      </c>
      <c r="I95" t="s">
        <v>57</v>
      </c>
      <c r="J95" s="4" t="s">
        <v>58</v>
      </c>
      <c r="K95">
        <v>80</v>
      </c>
      <c r="L95">
        <v>80</v>
      </c>
      <c r="M95" s="2">
        <f t="shared" si="8"/>
        <v>1</v>
      </c>
      <c r="N95" s="2">
        <f t="shared" si="9"/>
        <v>1</v>
      </c>
    </row>
    <row r="96" spans="1:14" x14ac:dyDescent="0.25">
      <c r="A96">
        <v>10.1</v>
      </c>
      <c r="B96" t="s">
        <v>439</v>
      </c>
      <c r="C96" t="s">
        <v>21</v>
      </c>
      <c r="D96" t="s">
        <v>60</v>
      </c>
      <c r="E96" t="s">
        <v>440</v>
      </c>
      <c r="F96" t="s">
        <v>441</v>
      </c>
      <c r="G96" t="s">
        <v>442</v>
      </c>
      <c r="H96" t="s">
        <v>443</v>
      </c>
      <c r="I96" t="s">
        <v>65</v>
      </c>
      <c r="J96" s="4" t="s">
        <v>74</v>
      </c>
      <c r="K96">
        <v>5</v>
      </c>
      <c r="L96">
        <v>3</v>
      </c>
      <c r="M96" s="2">
        <f t="shared" si="8"/>
        <v>1</v>
      </c>
      <c r="N96" s="2">
        <f t="shared" si="9"/>
        <v>1</v>
      </c>
    </row>
    <row r="97" spans="1:14" x14ac:dyDescent="0.25">
      <c r="A97">
        <v>10.199999999999999</v>
      </c>
      <c r="B97" t="s">
        <v>444</v>
      </c>
      <c r="C97" t="s">
        <v>21</v>
      </c>
      <c r="D97" t="s">
        <v>60</v>
      </c>
      <c r="E97" t="s">
        <v>440</v>
      </c>
      <c r="F97" t="s">
        <v>445</v>
      </c>
      <c r="G97" t="s">
        <v>446</v>
      </c>
      <c r="H97" t="s">
        <v>247</v>
      </c>
      <c r="I97" t="s">
        <v>65</v>
      </c>
      <c r="J97" s="4" t="s">
        <v>128</v>
      </c>
      <c r="K97">
        <v>600</v>
      </c>
      <c r="L97">
        <v>500</v>
      </c>
      <c r="M97" s="2">
        <f t="shared" si="8"/>
        <v>1</v>
      </c>
      <c r="N97" s="2">
        <f t="shared" si="9"/>
        <v>1</v>
      </c>
    </row>
    <row r="98" spans="1:14" x14ac:dyDescent="0.25">
      <c r="A98">
        <v>10.3</v>
      </c>
      <c r="B98" t="s">
        <v>447</v>
      </c>
      <c r="C98" t="s">
        <v>21</v>
      </c>
      <c r="D98" t="s">
        <v>52</v>
      </c>
      <c r="E98" t="s">
        <v>167</v>
      </c>
      <c r="F98" t="s">
        <v>448</v>
      </c>
      <c r="G98" t="s">
        <v>449</v>
      </c>
      <c r="H98" t="s">
        <v>450</v>
      </c>
      <c r="I98" t="s">
        <v>65</v>
      </c>
      <c r="J98" s="4" t="s">
        <v>58</v>
      </c>
      <c r="K98">
        <v>100</v>
      </c>
      <c r="L98">
        <v>90</v>
      </c>
      <c r="M98" s="2">
        <f t="shared" si="8"/>
        <v>1</v>
      </c>
      <c r="N98" s="2">
        <f t="shared" si="9"/>
        <v>1</v>
      </c>
    </row>
    <row r="99" spans="1:14" x14ac:dyDescent="0.25">
      <c r="A99">
        <v>10.4</v>
      </c>
      <c r="B99" t="s">
        <v>451</v>
      </c>
      <c r="C99" t="s">
        <v>21</v>
      </c>
      <c r="D99" t="s">
        <v>60</v>
      </c>
      <c r="E99" t="s">
        <v>440</v>
      </c>
      <c r="F99" t="s">
        <v>452</v>
      </c>
      <c r="G99" t="s">
        <v>453</v>
      </c>
      <c r="H99" t="s">
        <v>454</v>
      </c>
      <c r="I99" t="s">
        <v>65</v>
      </c>
      <c r="J99" s="4" t="s">
        <v>58</v>
      </c>
      <c r="K99">
        <v>12</v>
      </c>
      <c r="L99">
        <v>90</v>
      </c>
      <c r="M99" s="2">
        <f t="shared" si="8"/>
        <v>0.9</v>
      </c>
      <c r="N99" s="2">
        <f t="shared" si="9"/>
        <v>0.9</v>
      </c>
    </row>
    <row r="100" spans="1:14" x14ac:dyDescent="0.25">
      <c r="A100">
        <v>10.5</v>
      </c>
      <c r="B100" t="s">
        <v>455</v>
      </c>
      <c r="C100" t="s">
        <v>21</v>
      </c>
      <c r="D100" t="s">
        <v>52</v>
      </c>
      <c r="E100" t="s">
        <v>395</v>
      </c>
      <c r="F100" t="s">
        <v>456</v>
      </c>
      <c r="G100" t="s">
        <v>457</v>
      </c>
      <c r="H100" t="s">
        <v>458</v>
      </c>
      <c r="I100" t="s">
        <v>57</v>
      </c>
      <c r="J100" s="4" t="s">
        <v>58</v>
      </c>
      <c r="K100">
        <v>80</v>
      </c>
      <c r="L100">
        <v>100</v>
      </c>
      <c r="M100" s="2">
        <f t="shared" si="8"/>
        <v>0.13333333333333333</v>
      </c>
      <c r="N100" s="2">
        <f t="shared" si="9"/>
        <v>0</v>
      </c>
    </row>
    <row r="101" spans="1:14" x14ac:dyDescent="0.25">
      <c r="A101">
        <v>10.6</v>
      </c>
      <c r="B101" t="s">
        <v>459</v>
      </c>
      <c r="C101" t="s">
        <v>21</v>
      </c>
      <c r="D101" t="s">
        <v>60</v>
      </c>
      <c r="E101" t="s">
        <v>440</v>
      </c>
      <c r="F101" t="s">
        <v>460</v>
      </c>
      <c r="G101" t="s">
        <v>461</v>
      </c>
      <c r="H101" t="s">
        <v>462</v>
      </c>
      <c r="I101" t="s">
        <v>65</v>
      </c>
      <c r="J101" s="4" t="s">
        <v>74</v>
      </c>
      <c r="K101">
        <v>3</v>
      </c>
      <c r="L101">
        <v>2</v>
      </c>
      <c r="M101" s="2">
        <f t="shared" si="8"/>
        <v>1.25</v>
      </c>
      <c r="N101" s="2">
        <f t="shared" si="9"/>
        <v>1</v>
      </c>
    </row>
    <row r="102" spans="1:14" x14ac:dyDescent="0.25">
      <c r="A102">
        <v>10.7</v>
      </c>
      <c r="B102" t="s">
        <v>463</v>
      </c>
      <c r="C102" t="s">
        <v>21</v>
      </c>
      <c r="D102" t="s">
        <v>52</v>
      </c>
      <c r="E102" t="s">
        <v>167</v>
      </c>
      <c r="F102" t="s">
        <v>464</v>
      </c>
      <c r="G102" t="s">
        <v>465</v>
      </c>
      <c r="H102" t="s">
        <v>466</v>
      </c>
      <c r="I102" t="s">
        <v>65</v>
      </c>
      <c r="J102" s="4" t="s">
        <v>100</v>
      </c>
      <c r="K102">
        <v>1.8</v>
      </c>
      <c r="L102">
        <v>2</v>
      </c>
      <c r="M102" s="2">
        <f t="shared" si="8"/>
        <v>1</v>
      </c>
      <c r="N102" s="2">
        <f t="shared" si="9"/>
        <v>1</v>
      </c>
    </row>
    <row r="103" spans="1:14" x14ac:dyDescent="0.25">
      <c r="A103">
        <v>10.8</v>
      </c>
      <c r="B103" t="s">
        <v>467</v>
      </c>
      <c r="C103" t="s">
        <v>21</v>
      </c>
      <c r="D103" t="s">
        <v>52</v>
      </c>
      <c r="E103" t="s">
        <v>395</v>
      </c>
      <c r="F103" t="s">
        <v>468</v>
      </c>
      <c r="G103" t="s">
        <v>469</v>
      </c>
      <c r="H103" t="s">
        <v>470</v>
      </c>
      <c r="I103" t="s">
        <v>57</v>
      </c>
      <c r="J103" s="4" t="s">
        <v>87</v>
      </c>
      <c r="K103">
        <v>3</v>
      </c>
      <c r="L103">
        <v>3</v>
      </c>
      <c r="M103" s="2">
        <f t="shared" si="8"/>
        <v>1.1111111111111112</v>
      </c>
      <c r="N103" s="2">
        <f t="shared" si="9"/>
        <v>1</v>
      </c>
    </row>
    <row r="104" spans="1:14" x14ac:dyDescent="0.25">
      <c r="A104">
        <v>10.9</v>
      </c>
      <c r="B104" t="s">
        <v>471</v>
      </c>
      <c r="C104" t="s">
        <v>21</v>
      </c>
      <c r="D104" t="s">
        <v>52</v>
      </c>
      <c r="E104" t="s">
        <v>395</v>
      </c>
      <c r="F104" t="s">
        <v>472</v>
      </c>
      <c r="G104" t="s">
        <v>473</v>
      </c>
      <c r="H104" t="s">
        <v>474</v>
      </c>
      <c r="I104" t="s">
        <v>57</v>
      </c>
      <c r="J104" s="4" t="s">
        <v>58</v>
      </c>
      <c r="K104">
        <v>80</v>
      </c>
      <c r="L104">
        <v>60</v>
      </c>
      <c r="M104" s="2">
        <f t="shared" si="8"/>
        <v>1</v>
      </c>
      <c r="N104" s="2">
        <f t="shared" si="9"/>
        <v>1</v>
      </c>
    </row>
    <row r="105" spans="1:14" x14ac:dyDescent="0.25">
      <c r="A105" s="3">
        <v>10.1</v>
      </c>
      <c r="B105" t="s">
        <v>475</v>
      </c>
      <c r="C105" t="s">
        <v>21</v>
      </c>
      <c r="D105" t="s">
        <v>60</v>
      </c>
      <c r="E105" t="s">
        <v>440</v>
      </c>
      <c r="F105" t="s">
        <v>476</v>
      </c>
      <c r="G105" t="s">
        <v>477</v>
      </c>
      <c r="H105" t="s">
        <v>478</v>
      </c>
      <c r="I105" t="s">
        <v>65</v>
      </c>
      <c r="J105" s="4" t="s">
        <v>58</v>
      </c>
      <c r="K105">
        <v>100</v>
      </c>
      <c r="L105">
        <v>92.5</v>
      </c>
      <c r="M105" s="2">
        <f t="shared" si="8"/>
        <v>0.75</v>
      </c>
      <c r="N105" s="2">
        <f t="shared" si="9"/>
        <v>0.75</v>
      </c>
    </row>
    <row r="106" spans="1:14" x14ac:dyDescent="0.25">
      <c r="A106">
        <v>10.11</v>
      </c>
      <c r="B106" t="s">
        <v>479</v>
      </c>
      <c r="C106" t="s">
        <v>21</v>
      </c>
      <c r="D106" t="s">
        <v>52</v>
      </c>
      <c r="E106" t="s">
        <v>167</v>
      </c>
      <c r="F106" t="s">
        <v>480</v>
      </c>
      <c r="G106" t="s">
        <v>481</v>
      </c>
      <c r="H106" t="s">
        <v>482</v>
      </c>
      <c r="I106" t="s">
        <v>65</v>
      </c>
      <c r="J106" s="4" t="s">
        <v>87</v>
      </c>
      <c r="K106">
        <v>12</v>
      </c>
      <c r="L106">
        <v>11</v>
      </c>
      <c r="M106" s="2">
        <f t="shared" si="8"/>
        <v>1</v>
      </c>
      <c r="N106" s="2">
        <f t="shared" si="9"/>
        <v>1</v>
      </c>
    </row>
    <row r="107" spans="1:14" x14ac:dyDescent="0.25">
      <c r="A107">
        <v>10.119999999999999</v>
      </c>
      <c r="B107" t="s">
        <v>483</v>
      </c>
      <c r="C107" t="s">
        <v>21</v>
      </c>
      <c r="D107" t="s">
        <v>52</v>
      </c>
      <c r="E107" t="s">
        <v>395</v>
      </c>
      <c r="F107" t="s">
        <v>484</v>
      </c>
      <c r="G107" t="s">
        <v>485</v>
      </c>
      <c r="H107" t="s">
        <v>486</v>
      </c>
      <c r="I107" t="s">
        <v>57</v>
      </c>
      <c r="J107" s="4" t="s">
        <v>58</v>
      </c>
      <c r="K107">
        <v>80</v>
      </c>
      <c r="L107">
        <v>90</v>
      </c>
      <c r="M107" s="2">
        <f t="shared" si="8"/>
        <v>0.91666666666666663</v>
      </c>
      <c r="N107" s="2">
        <f t="shared" si="9"/>
        <v>0.91666666666666663</v>
      </c>
    </row>
    <row r="108" spans="1:14" x14ac:dyDescent="0.25">
      <c r="A108">
        <v>10.130000000000001</v>
      </c>
      <c r="B108" t="s">
        <v>487</v>
      </c>
      <c r="C108" t="s">
        <v>21</v>
      </c>
      <c r="D108" t="s">
        <v>60</v>
      </c>
      <c r="E108" t="s">
        <v>440</v>
      </c>
      <c r="F108" t="s">
        <v>488</v>
      </c>
      <c r="G108" t="s">
        <v>489</v>
      </c>
      <c r="H108" t="s">
        <v>490</v>
      </c>
      <c r="I108" t="s">
        <v>65</v>
      </c>
      <c r="J108" s="4" t="s">
        <v>58</v>
      </c>
      <c r="K108">
        <v>25</v>
      </c>
      <c r="L108">
        <v>20</v>
      </c>
      <c r="M108" s="2">
        <f t="shared" si="8"/>
        <v>1.125</v>
      </c>
      <c r="N108" s="2">
        <f t="shared" si="9"/>
        <v>1</v>
      </c>
    </row>
    <row r="109" spans="1:14" x14ac:dyDescent="0.25">
      <c r="A109">
        <v>10.14</v>
      </c>
      <c r="B109" t="s">
        <v>491</v>
      </c>
      <c r="C109" t="s">
        <v>21</v>
      </c>
      <c r="D109" t="s">
        <v>52</v>
      </c>
      <c r="E109" t="s">
        <v>395</v>
      </c>
      <c r="F109" t="s">
        <v>492</v>
      </c>
      <c r="G109" t="s">
        <v>493</v>
      </c>
      <c r="H109" t="s">
        <v>494</v>
      </c>
      <c r="I109" t="s">
        <v>57</v>
      </c>
      <c r="J109" s="4" t="s">
        <v>58</v>
      </c>
      <c r="K109">
        <v>80</v>
      </c>
      <c r="L109">
        <v>95</v>
      </c>
      <c r="M109" s="2">
        <f t="shared" si="8"/>
        <v>1</v>
      </c>
      <c r="N109" s="2">
        <f t="shared" si="9"/>
        <v>1</v>
      </c>
    </row>
    <row r="110" spans="1:14" x14ac:dyDescent="0.25">
      <c r="A110">
        <v>10.15</v>
      </c>
      <c r="B110" t="s">
        <v>495</v>
      </c>
      <c r="C110" t="s">
        <v>21</v>
      </c>
      <c r="D110" t="s">
        <v>52</v>
      </c>
      <c r="E110" t="s">
        <v>167</v>
      </c>
      <c r="F110" t="s">
        <v>496</v>
      </c>
      <c r="G110" t="s">
        <v>497</v>
      </c>
      <c r="H110" t="s">
        <v>498</v>
      </c>
      <c r="I110" t="s">
        <v>65</v>
      </c>
      <c r="J110" s="4" t="s">
        <v>58</v>
      </c>
      <c r="K110">
        <v>100</v>
      </c>
      <c r="L110">
        <v>100</v>
      </c>
      <c r="M110" s="2">
        <f t="shared" si="8"/>
        <v>1.1875</v>
      </c>
      <c r="N110" s="2">
        <f t="shared" si="9"/>
        <v>1</v>
      </c>
    </row>
    <row r="111" spans="1:14" x14ac:dyDescent="0.25">
      <c r="A111">
        <v>10.16</v>
      </c>
      <c r="B111" t="s">
        <v>499</v>
      </c>
      <c r="C111" t="s">
        <v>21</v>
      </c>
      <c r="D111" t="s">
        <v>52</v>
      </c>
      <c r="E111" t="s">
        <v>167</v>
      </c>
      <c r="F111" t="s">
        <v>500</v>
      </c>
      <c r="G111" t="s">
        <v>501</v>
      </c>
      <c r="H111" t="s">
        <v>502</v>
      </c>
      <c r="I111" t="s">
        <v>65</v>
      </c>
      <c r="J111" s="4" t="s">
        <v>58</v>
      </c>
      <c r="K111">
        <v>100</v>
      </c>
      <c r="L111">
        <v>100</v>
      </c>
      <c r="M111" s="2">
        <f t="shared" si="8"/>
        <v>1</v>
      </c>
      <c r="N111" s="2">
        <f t="shared" si="9"/>
        <v>1</v>
      </c>
    </row>
    <row r="112" spans="1:14" x14ac:dyDescent="0.25">
      <c r="A112">
        <v>10.17</v>
      </c>
      <c r="B112" t="s">
        <v>503</v>
      </c>
      <c r="C112" t="s">
        <v>21</v>
      </c>
      <c r="D112" t="s">
        <v>52</v>
      </c>
      <c r="E112" t="s">
        <v>395</v>
      </c>
      <c r="F112" t="s">
        <v>504</v>
      </c>
      <c r="G112" t="s">
        <v>505</v>
      </c>
      <c r="H112" t="s">
        <v>506</v>
      </c>
      <c r="I112" t="s">
        <v>57</v>
      </c>
      <c r="J112" s="4" t="s">
        <v>58</v>
      </c>
      <c r="K112">
        <v>80</v>
      </c>
      <c r="L112">
        <v>93</v>
      </c>
      <c r="M112" s="2">
        <f t="shared" si="8"/>
        <v>1</v>
      </c>
      <c r="N112" s="2">
        <f t="shared" si="9"/>
        <v>1</v>
      </c>
    </row>
    <row r="113" spans="1:14" x14ac:dyDescent="0.25">
      <c r="A113">
        <v>11.1</v>
      </c>
      <c r="B113" t="s">
        <v>507</v>
      </c>
      <c r="C113" t="s">
        <v>508</v>
      </c>
      <c r="D113" t="s">
        <v>52</v>
      </c>
      <c r="E113" t="s">
        <v>395</v>
      </c>
      <c r="F113" t="s">
        <v>146</v>
      </c>
      <c r="G113" t="s">
        <v>509</v>
      </c>
      <c r="H113" t="s">
        <v>510</v>
      </c>
      <c r="I113" t="s">
        <v>57</v>
      </c>
      <c r="J113" s="4" t="s">
        <v>58</v>
      </c>
      <c r="K113">
        <v>100</v>
      </c>
      <c r="L113">
        <v>200</v>
      </c>
      <c r="M113" s="2">
        <f t="shared" si="8"/>
        <v>1.1625000000000001</v>
      </c>
      <c r="N113" s="2">
        <f t="shared" si="9"/>
        <v>1</v>
      </c>
    </row>
    <row r="114" spans="1:14" x14ac:dyDescent="0.25">
      <c r="A114">
        <v>11.2</v>
      </c>
      <c r="B114" t="s">
        <v>511</v>
      </c>
      <c r="C114" t="s">
        <v>508</v>
      </c>
      <c r="D114" t="s">
        <v>60</v>
      </c>
      <c r="E114" t="s">
        <v>440</v>
      </c>
      <c r="F114" t="s">
        <v>512</v>
      </c>
      <c r="G114" t="s">
        <v>513</v>
      </c>
      <c r="H114" t="s">
        <v>514</v>
      </c>
      <c r="I114" t="s">
        <v>65</v>
      </c>
      <c r="J114" s="4" t="s">
        <v>128</v>
      </c>
      <c r="K114">
        <v>25</v>
      </c>
      <c r="L114">
        <v>25</v>
      </c>
      <c r="M114" s="2">
        <f t="shared" si="8"/>
        <v>2</v>
      </c>
      <c r="N114" s="2">
        <f t="shared" si="9"/>
        <v>1</v>
      </c>
    </row>
    <row r="115" spans="1:14" x14ac:dyDescent="0.25">
      <c r="A115">
        <v>11.3</v>
      </c>
      <c r="B115" t="s">
        <v>515</v>
      </c>
      <c r="C115" t="s">
        <v>508</v>
      </c>
      <c r="D115" t="s">
        <v>52</v>
      </c>
      <c r="E115" t="s">
        <v>395</v>
      </c>
      <c r="F115" t="s">
        <v>516</v>
      </c>
      <c r="G115" t="s">
        <v>517</v>
      </c>
      <c r="H115" t="s">
        <v>518</v>
      </c>
      <c r="I115" t="s">
        <v>57</v>
      </c>
      <c r="J115" s="4" t="s">
        <v>58</v>
      </c>
      <c r="K115">
        <v>5</v>
      </c>
      <c r="L115">
        <v>6</v>
      </c>
      <c r="M115" s="2">
        <f t="shared" si="8"/>
        <v>1</v>
      </c>
      <c r="N115" s="2">
        <f t="shared" si="9"/>
        <v>1</v>
      </c>
    </row>
    <row r="116" spans="1:14" x14ac:dyDescent="0.25">
      <c r="A116">
        <v>11.4</v>
      </c>
      <c r="B116" t="s">
        <v>519</v>
      </c>
      <c r="C116" t="s">
        <v>508</v>
      </c>
      <c r="D116" t="s">
        <v>60</v>
      </c>
      <c r="E116" t="s">
        <v>440</v>
      </c>
      <c r="F116" t="s">
        <v>520</v>
      </c>
      <c r="G116" t="s">
        <v>521</v>
      </c>
      <c r="H116" t="s">
        <v>522</v>
      </c>
      <c r="I116" t="s">
        <v>65</v>
      </c>
      <c r="J116" s="4" t="s">
        <v>128</v>
      </c>
      <c r="K116">
        <v>400</v>
      </c>
      <c r="L116">
        <v>400</v>
      </c>
      <c r="M116" s="2">
        <f t="shared" si="8"/>
        <v>1.2</v>
      </c>
      <c r="N116" s="2">
        <f t="shared" si="9"/>
        <v>1</v>
      </c>
    </row>
    <row r="117" spans="1:14" x14ac:dyDescent="0.25">
      <c r="A117">
        <v>11.5</v>
      </c>
      <c r="B117" t="s">
        <v>523</v>
      </c>
      <c r="C117" t="s">
        <v>508</v>
      </c>
      <c r="D117" t="s">
        <v>52</v>
      </c>
      <c r="E117" t="s">
        <v>395</v>
      </c>
      <c r="F117" t="s">
        <v>524</v>
      </c>
      <c r="G117" t="s">
        <v>525</v>
      </c>
      <c r="H117" t="s">
        <v>526</v>
      </c>
      <c r="I117" t="s">
        <v>57</v>
      </c>
      <c r="J117" s="4" t="s">
        <v>58</v>
      </c>
      <c r="K117">
        <v>20</v>
      </c>
      <c r="L117">
        <v>25</v>
      </c>
      <c r="M117" s="2">
        <f t="shared" si="8"/>
        <v>1</v>
      </c>
      <c r="N117" s="2">
        <f t="shared" si="9"/>
        <v>1</v>
      </c>
    </row>
    <row r="118" spans="1:14" x14ac:dyDescent="0.25">
      <c r="A118">
        <v>11.6</v>
      </c>
      <c r="B118" t="s">
        <v>527</v>
      </c>
      <c r="C118" t="s">
        <v>508</v>
      </c>
      <c r="D118" t="s">
        <v>52</v>
      </c>
      <c r="E118" t="s">
        <v>167</v>
      </c>
      <c r="F118" t="s">
        <v>528</v>
      </c>
      <c r="G118" t="s">
        <v>529</v>
      </c>
      <c r="H118" t="s">
        <v>530</v>
      </c>
      <c r="I118" t="s">
        <v>65</v>
      </c>
      <c r="J118" s="4" t="s">
        <v>58</v>
      </c>
      <c r="K118">
        <v>3</v>
      </c>
      <c r="L118">
        <v>3.2</v>
      </c>
      <c r="M118" s="2">
        <f t="shared" si="8"/>
        <v>1.25</v>
      </c>
      <c r="N118" s="2">
        <f t="shared" si="9"/>
        <v>1</v>
      </c>
    </row>
    <row r="119" spans="1:14" x14ac:dyDescent="0.25">
      <c r="A119">
        <v>11.7</v>
      </c>
      <c r="B119" t="s">
        <v>531</v>
      </c>
      <c r="C119" t="s">
        <v>508</v>
      </c>
      <c r="D119" t="s">
        <v>52</v>
      </c>
      <c r="E119" t="s">
        <v>167</v>
      </c>
      <c r="F119" t="s">
        <v>532</v>
      </c>
      <c r="G119" t="s">
        <v>533</v>
      </c>
      <c r="H119" t="s">
        <v>534</v>
      </c>
      <c r="I119" t="s">
        <v>65</v>
      </c>
      <c r="J119" s="4" t="s">
        <v>128</v>
      </c>
      <c r="K119">
        <v>2000</v>
      </c>
      <c r="L119">
        <v>2500</v>
      </c>
      <c r="M119" s="2">
        <f t="shared" si="8"/>
        <v>1.0666666666666667</v>
      </c>
      <c r="N119" s="2">
        <f t="shared" si="9"/>
        <v>1</v>
      </c>
    </row>
    <row r="120" spans="1:14" x14ac:dyDescent="0.25">
      <c r="A120">
        <v>11.8</v>
      </c>
      <c r="B120" t="s">
        <v>535</v>
      </c>
      <c r="C120" t="s">
        <v>508</v>
      </c>
      <c r="D120" t="s">
        <v>60</v>
      </c>
      <c r="E120" t="s">
        <v>536</v>
      </c>
      <c r="F120" t="s">
        <v>537</v>
      </c>
      <c r="G120" t="s">
        <v>538</v>
      </c>
      <c r="H120" t="s">
        <v>539</v>
      </c>
      <c r="I120" t="s">
        <v>57</v>
      </c>
      <c r="J120" s="4" t="s">
        <v>58</v>
      </c>
      <c r="K120">
        <v>50</v>
      </c>
      <c r="L120">
        <v>45</v>
      </c>
      <c r="M120" s="2">
        <f t="shared" ref="M120:M151" si="10">IFERROR(IF(D119="Positivo", L119/K119, IF(L119&lt;=K119, 1, K119/L119)), 0)</f>
        <v>1.25</v>
      </c>
      <c r="N120" s="2">
        <f t="shared" ref="N120:N151" si="11">IFERROR(IF(D119="Positivo", IF(L119&gt;=K119, 1, L119/K119), IF(L119&lt;=K119, 1, 0)), 0)</f>
        <v>1</v>
      </c>
    </row>
    <row r="121" spans="1:14" x14ac:dyDescent="0.25">
      <c r="A121">
        <v>11.9</v>
      </c>
      <c r="B121" t="s">
        <v>540</v>
      </c>
      <c r="C121" t="s">
        <v>508</v>
      </c>
      <c r="D121" t="s">
        <v>52</v>
      </c>
      <c r="E121" t="s">
        <v>395</v>
      </c>
      <c r="F121" t="s">
        <v>541</v>
      </c>
      <c r="G121" t="s">
        <v>542</v>
      </c>
      <c r="H121" t="s">
        <v>543</v>
      </c>
      <c r="I121" t="s">
        <v>57</v>
      </c>
      <c r="J121" s="4" t="s">
        <v>58</v>
      </c>
      <c r="K121">
        <v>5</v>
      </c>
      <c r="L121">
        <v>6</v>
      </c>
      <c r="M121" s="2">
        <f t="shared" si="10"/>
        <v>1</v>
      </c>
      <c r="N121" s="2">
        <f t="shared" si="11"/>
        <v>1</v>
      </c>
    </row>
    <row r="122" spans="1:14" x14ac:dyDescent="0.25">
      <c r="A122" s="3">
        <v>11.1</v>
      </c>
      <c r="B122" t="s">
        <v>544</v>
      </c>
      <c r="C122" t="s">
        <v>508</v>
      </c>
      <c r="D122" t="s">
        <v>52</v>
      </c>
      <c r="E122" t="s">
        <v>167</v>
      </c>
      <c r="F122" t="s">
        <v>545</v>
      </c>
      <c r="G122" t="s">
        <v>546</v>
      </c>
      <c r="H122" t="s">
        <v>547</v>
      </c>
      <c r="I122" t="s">
        <v>65</v>
      </c>
      <c r="J122" s="4" t="s">
        <v>58</v>
      </c>
      <c r="K122">
        <v>15</v>
      </c>
      <c r="L122">
        <v>20</v>
      </c>
      <c r="M122" s="2">
        <f t="shared" si="10"/>
        <v>1.2</v>
      </c>
      <c r="N122" s="2">
        <f t="shared" si="11"/>
        <v>1</v>
      </c>
    </row>
    <row r="123" spans="1:14" x14ac:dyDescent="0.25">
      <c r="A123">
        <v>11.11</v>
      </c>
      <c r="B123" t="s">
        <v>548</v>
      </c>
      <c r="C123" t="s">
        <v>508</v>
      </c>
      <c r="D123" t="s">
        <v>60</v>
      </c>
      <c r="E123" t="s">
        <v>440</v>
      </c>
      <c r="F123" t="s">
        <v>549</v>
      </c>
      <c r="G123" t="s">
        <v>550</v>
      </c>
      <c r="H123" t="s">
        <v>551</v>
      </c>
      <c r="I123" t="s">
        <v>65</v>
      </c>
      <c r="J123" s="4" t="s">
        <v>552</v>
      </c>
      <c r="K123">
        <v>5</v>
      </c>
      <c r="L123">
        <v>6</v>
      </c>
      <c r="M123" s="2">
        <f t="shared" si="10"/>
        <v>1.3333333333333333</v>
      </c>
      <c r="N123" s="2">
        <f t="shared" si="11"/>
        <v>1</v>
      </c>
    </row>
    <row r="124" spans="1:14" x14ac:dyDescent="0.25">
      <c r="A124">
        <v>11.12</v>
      </c>
      <c r="B124" t="s">
        <v>553</v>
      </c>
      <c r="C124" t="s">
        <v>508</v>
      </c>
      <c r="D124" t="s">
        <v>52</v>
      </c>
      <c r="E124" t="s">
        <v>395</v>
      </c>
      <c r="F124" t="s">
        <v>554</v>
      </c>
      <c r="G124" t="s">
        <v>555</v>
      </c>
      <c r="H124" t="s">
        <v>556</v>
      </c>
      <c r="I124" t="s">
        <v>57</v>
      </c>
      <c r="J124" s="4" t="s">
        <v>557</v>
      </c>
      <c r="K124">
        <v>0.5</v>
      </c>
      <c r="L124">
        <v>0.56999999999999995</v>
      </c>
      <c r="M124" s="2">
        <f t="shared" si="10"/>
        <v>0.83333333333333337</v>
      </c>
      <c r="N124" s="2">
        <f t="shared" si="11"/>
        <v>0</v>
      </c>
    </row>
    <row r="125" spans="1:14" x14ac:dyDescent="0.25">
      <c r="A125">
        <v>11.13</v>
      </c>
      <c r="B125" t="s">
        <v>558</v>
      </c>
      <c r="C125" t="s">
        <v>508</v>
      </c>
      <c r="D125" t="s">
        <v>52</v>
      </c>
      <c r="E125" t="s">
        <v>395</v>
      </c>
      <c r="F125" t="s">
        <v>559</v>
      </c>
      <c r="G125" t="s">
        <v>560</v>
      </c>
      <c r="H125" t="s">
        <v>561</v>
      </c>
      <c r="I125" t="s">
        <v>57</v>
      </c>
      <c r="J125" s="4" t="s">
        <v>58</v>
      </c>
      <c r="K125">
        <v>90</v>
      </c>
      <c r="L125">
        <v>92</v>
      </c>
      <c r="M125" s="2">
        <f t="shared" si="10"/>
        <v>1.1399999999999999</v>
      </c>
      <c r="N125" s="2">
        <f t="shared" si="11"/>
        <v>1</v>
      </c>
    </row>
    <row r="126" spans="1:14" x14ac:dyDescent="0.25">
      <c r="A126">
        <v>11.14</v>
      </c>
      <c r="B126" t="s">
        <v>562</v>
      </c>
      <c r="C126" t="s">
        <v>508</v>
      </c>
      <c r="D126" t="s">
        <v>52</v>
      </c>
      <c r="E126" t="s">
        <v>167</v>
      </c>
      <c r="F126" t="s">
        <v>563</v>
      </c>
      <c r="G126" t="s">
        <v>564</v>
      </c>
      <c r="H126" t="s">
        <v>565</v>
      </c>
      <c r="I126" t="s">
        <v>65</v>
      </c>
      <c r="J126" s="4" t="s">
        <v>58</v>
      </c>
      <c r="K126">
        <v>80</v>
      </c>
      <c r="L126">
        <v>90</v>
      </c>
      <c r="M126" s="2">
        <f t="shared" si="10"/>
        <v>1.0222222222222221</v>
      </c>
      <c r="N126" s="2">
        <f t="shared" si="11"/>
        <v>1</v>
      </c>
    </row>
    <row r="127" spans="1:14" x14ac:dyDescent="0.25">
      <c r="A127">
        <v>11.15</v>
      </c>
      <c r="B127" t="s">
        <v>566</v>
      </c>
      <c r="C127" t="s">
        <v>508</v>
      </c>
      <c r="D127" t="s">
        <v>52</v>
      </c>
      <c r="E127" t="s">
        <v>167</v>
      </c>
      <c r="F127" t="s">
        <v>567</v>
      </c>
      <c r="G127" t="s">
        <v>568</v>
      </c>
      <c r="H127" t="s">
        <v>569</v>
      </c>
      <c r="I127" t="s">
        <v>65</v>
      </c>
      <c r="J127" s="4" t="s">
        <v>557</v>
      </c>
      <c r="K127">
        <v>0.12</v>
      </c>
      <c r="L127">
        <v>0.11</v>
      </c>
      <c r="M127" s="2">
        <f t="shared" si="10"/>
        <v>1.125</v>
      </c>
      <c r="N127" s="2">
        <f t="shared" si="11"/>
        <v>1</v>
      </c>
    </row>
    <row r="128" spans="1:14" x14ac:dyDescent="0.25">
      <c r="A128">
        <v>11.16</v>
      </c>
      <c r="B128" t="s">
        <v>570</v>
      </c>
      <c r="C128" t="s">
        <v>508</v>
      </c>
      <c r="D128" t="s">
        <v>52</v>
      </c>
      <c r="E128" t="s">
        <v>395</v>
      </c>
      <c r="F128" t="s">
        <v>571</v>
      </c>
      <c r="G128" t="s">
        <v>572</v>
      </c>
      <c r="H128" t="s">
        <v>573</v>
      </c>
      <c r="I128" t="s">
        <v>57</v>
      </c>
      <c r="J128" s="4" t="s">
        <v>58</v>
      </c>
      <c r="K128">
        <v>90</v>
      </c>
      <c r="L128">
        <v>99</v>
      </c>
      <c r="M128" s="2">
        <f t="shared" si="10"/>
        <v>0.91666666666666674</v>
      </c>
      <c r="N128" s="2">
        <f t="shared" si="11"/>
        <v>0.91666666666666674</v>
      </c>
    </row>
    <row r="129" spans="1:14" x14ac:dyDescent="0.25">
      <c r="A129">
        <v>11.17</v>
      </c>
      <c r="B129" t="s">
        <v>574</v>
      </c>
      <c r="C129" t="s">
        <v>508</v>
      </c>
      <c r="D129" t="s">
        <v>52</v>
      </c>
      <c r="E129" t="s">
        <v>167</v>
      </c>
      <c r="F129" t="s">
        <v>575</v>
      </c>
      <c r="G129" t="s">
        <v>576</v>
      </c>
      <c r="H129" t="s">
        <v>577</v>
      </c>
      <c r="I129" t="s">
        <v>65</v>
      </c>
      <c r="J129" s="4" t="s">
        <v>87</v>
      </c>
      <c r="K129">
        <v>2</v>
      </c>
      <c r="L129">
        <v>1</v>
      </c>
      <c r="M129" s="2">
        <f t="shared" si="10"/>
        <v>1.1000000000000001</v>
      </c>
      <c r="N129" s="2">
        <f t="shared" si="11"/>
        <v>1</v>
      </c>
    </row>
    <row r="130" spans="1:14" x14ac:dyDescent="0.25">
      <c r="A130">
        <v>11.18</v>
      </c>
      <c r="B130" t="s">
        <v>578</v>
      </c>
      <c r="C130" t="s">
        <v>508</v>
      </c>
      <c r="D130" t="s">
        <v>60</v>
      </c>
      <c r="E130" t="s">
        <v>440</v>
      </c>
      <c r="F130" t="s">
        <v>579</v>
      </c>
      <c r="G130" t="s">
        <v>580</v>
      </c>
      <c r="H130" t="s">
        <v>581</v>
      </c>
      <c r="I130" t="s">
        <v>65</v>
      </c>
      <c r="J130" s="4" t="s">
        <v>58</v>
      </c>
      <c r="K130">
        <v>2</v>
      </c>
      <c r="L130">
        <v>5</v>
      </c>
      <c r="M130" s="2">
        <f t="shared" si="10"/>
        <v>0.5</v>
      </c>
      <c r="N130" s="2">
        <f t="shared" si="11"/>
        <v>0.5</v>
      </c>
    </row>
    <row r="131" spans="1:14" x14ac:dyDescent="0.25">
      <c r="A131">
        <v>11.19</v>
      </c>
      <c r="B131" t="s">
        <v>582</v>
      </c>
      <c r="C131" t="s">
        <v>508</v>
      </c>
      <c r="D131" t="s">
        <v>52</v>
      </c>
      <c r="E131" t="s">
        <v>167</v>
      </c>
      <c r="F131" t="s">
        <v>583</v>
      </c>
      <c r="G131" t="s">
        <v>584</v>
      </c>
      <c r="H131" t="s">
        <v>585</v>
      </c>
      <c r="I131" t="s">
        <v>65</v>
      </c>
      <c r="J131" s="4" t="s">
        <v>344</v>
      </c>
      <c r="K131">
        <v>8</v>
      </c>
      <c r="L131">
        <v>8.5</v>
      </c>
      <c r="M131" s="2">
        <f t="shared" si="10"/>
        <v>0.4</v>
      </c>
      <c r="N131" s="2">
        <f t="shared" si="11"/>
        <v>0</v>
      </c>
    </row>
    <row r="132" spans="1:14" x14ac:dyDescent="0.25">
      <c r="A132" s="3">
        <v>11.2</v>
      </c>
      <c r="B132" t="s">
        <v>586</v>
      </c>
      <c r="C132" t="s">
        <v>508</v>
      </c>
      <c r="D132" t="s">
        <v>52</v>
      </c>
      <c r="E132" t="s">
        <v>167</v>
      </c>
      <c r="F132" t="s">
        <v>587</v>
      </c>
      <c r="G132" t="s">
        <v>588</v>
      </c>
      <c r="H132" t="s">
        <v>589</v>
      </c>
      <c r="I132" t="s">
        <v>65</v>
      </c>
      <c r="J132" s="4" t="s">
        <v>557</v>
      </c>
      <c r="K132">
        <v>0.5</v>
      </c>
      <c r="L132">
        <v>0.43</v>
      </c>
      <c r="M132" s="2">
        <f t="shared" si="10"/>
        <v>1.0625</v>
      </c>
      <c r="N132" s="2">
        <f t="shared" si="11"/>
        <v>1</v>
      </c>
    </row>
    <row r="133" spans="1:14" x14ac:dyDescent="0.25">
      <c r="A133">
        <v>12.1</v>
      </c>
      <c r="B133" t="s">
        <v>590</v>
      </c>
      <c r="C133" t="s">
        <v>25</v>
      </c>
      <c r="D133" t="s">
        <v>52</v>
      </c>
      <c r="E133" t="s">
        <v>395</v>
      </c>
      <c r="F133" t="s">
        <v>591</v>
      </c>
      <c r="G133" t="s">
        <v>592</v>
      </c>
      <c r="H133" t="s">
        <v>593</v>
      </c>
      <c r="I133" t="s">
        <v>57</v>
      </c>
      <c r="J133" s="4" t="s">
        <v>594</v>
      </c>
      <c r="K133">
        <v>10</v>
      </c>
      <c r="L133">
        <v>12</v>
      </c>
      <c r="M133" s="2">
        <f t="shared" si="10"/>
        <v>0.86</v>
      </c>
      <c r="N133" s="2">
        <f t="shared" si="11"/>
        <v>0.86</v>
      </c>
    </row>
    <row r="134" spans="1:14" x14ac:dyDescent="0.25">
      <c r="A134">
        <v>12.2</v>
      </c>
      <c r="B134" t="s">
        <v>595</v>
      </c>
      <c r="C134" t="s">
        <v>25</v>
      </c>
      <c r="D134" t="s">
        <v>52</v>
      </c>
      <c r="E134" t="s">
        <v>395</v>
      </c>
      <c r="F134" t="s">
        <v>596</v>
      </c>
      <c r="G134" t="s">
        <v>597</v>
      </c>
      <c r="H134" t="s">
        <v>598</v>
      </c>
      <c r="I134" t="s">
        <v>57</v>
      </c>
      <c r="J134" s="4" t="s">
        <v>344</v>
      </c>
      <c r="K134">
        <v>90</v>
      </c>
      <c r="L134">
        <v>85</v>
      </c>
      <c r="M134" s="2">
        <f t="shared" si="10"/>
        <v>1.2</v>
      </c>
      <c r="N134" s="2">
        <f t="shared" si="11"/>
        <v>1</v>
      </c>
    </row>
    <row r="135" spans="1:14" x14ac:dyDescent="0.25">
      <c r="A135">
        <v>12.3</v>
      </c>
      <c r="B135" t="s">
        <v>599</v>
      </c>
      <c r="C135" t="s">
        <v>25</v>
      </c>
      <c r="D135" t="s">
        <v>60</v>
      </c>
      <c r="E135" t="s">
        <v>536</v>
      </c>
      <c r="F135" t="s">
        <v>600</v>
      </c>
      <c r="G135" t="s">
        <v>601</v>
      </c>
      <c r="H135" t="s">
        <v>602</v>
      </c>
      <c r="I135" t="s">
        <v>57</v>
      </c>
      <c r="J135" s="4" t="s">
        <v>58</v>
      </c>
      <c r="K135">
        <v>50</v>
      </c>
      <c r="L135">
        <v>45</v>
      </c>
      <c r="M135" s="2">
        <f t="shared" si="10"/>
        <v>0.94444444444444442</v>
      </c>
      <c r="N135" s="2">
        <f t="shared" si="11"/>
        <v>0.94444444444444442</v>
      </c>
    </row>
    <row r="136" spans="1:14" x14ac:dyDescent="0.25">
      <c r="A136">
        <v>12.4</v>
      </c>
      <c r="B136" t="s">
        <v>603</v>
      </c>
      <c r="C136" t="s">
        <v>25</v>
      </c>
      <c r="D136" t="s">
        <v>60</v>
      </c>
      <c r="E136" t="s">
        <v>440</v>
      </c>
      <c r="F136" t="s">
        <v>604</v>
      </c>
      <c r="G136" t="s">
        <v>605</v>
      </c>
      <c r="H136" t="s">
        <v>606</v>
      </c>
      <c r="I136" t="s">
        <v>65</v>
      </c>
      <c r="J136" s="4" t="s">
        <v>87</v>
      </c>
      <c r="K136">
        <v>0</v>
      </c>
      <c r="L136">
        <v>2</v>
      </c>
      <c r="M136" s="2">
        <f t="shared" si="10"/>
        <v>1</v>
      </c>
      <c r="N136" s="2">
        <f t="shared" si="11"/>
        <v>1</v>
      </c>
    </row>
    <row r="137" spans="1:14" x14ac:dyDescent="0.25">
      <c r="A137">
        <v>12.5</v>
      </c>
      <c r="B137" t="s">
        <v>607</v>
      </c>
      <c r="C137" t="s">
        <v>25</v>
      </c>
      <c r="D137" t="s">
        <v>52</v>
      </c>
      <c r="E137" t="s">
        <v>167</v>
      </c>
      <c r="F137" t="s">
        <v>608</v>
      </c>
      <c r="G137" t="s">
        <v>609</v>
      </c>
      <c r="H137" t="s">
        <v>610</v>
      </c>
      <c r="I137" t="s">
        <v>65</v>
      </c>
      <c r="J137" s="4" t="s">
        <v>58</v>
      </c>
      <c r="K137">
        <v>1</v>
      </c>
      <c r="L137">
        <v>5</v>
      </c>
      <c r="M137" s="2">
        <f t="shared" si="10"/>
        <v>0</v>
      </c>
      <c r="N137" s="2">
        <f t="shared" si="11"/>
        <v>0</v>
      </c>
    </row>
    <row r="138" spans="1:14" x14ac:dyDescent="0.25">
      <c r="A138">
        <v>12.6</v>
      </c>
      <c r="B138" t="s">
        <v>611</v>
      </c>
      <c r="C138" t="s">
        <v>25</v>
      </c>
      <c r="D138" t="s">
        <v>52</v>
      </c>
      <c r="E138" t="s">
        <v>395</v>
      </c>
      <c r="F138" t="s">
        <v>612</v>
      </c>
      <c r="G138" t="s">
        <v>613</v>
      </c>
      <c r="H138" t="s">
        <v>614</v>
      </c>
      <c r="I138" t="s">
        <v>57</v>
      </c>
      <c r="J138" s="4" t="s">
        <v>58</v>
      </c>
      <c r="K138">
        <v>100</v>
      </c>
      <c r="L138">
        <v>100</v>
      </c>
      <c r="M138" s="2">
        <f t="shared" si="10"/>
        <v>5</v>
      </c>
      <c r="N138" s="2">
        <f t="shared" si="11"/>
        <v>1</v>
      </c>
    </row>
    <row r="139" spans="1:14" x14ac:dyDescent="0.25">
      <c r="A139">
        <v>12.7</v>
      </c>
      <c r="B139" t="s">
        <v>615</v>
      </c>
      <c r="C139" t="s">
        <v>25</v>
      </c>
      <c r="D139" t="s">
        <v>52</v>
      </c>
      <c r="E139" t="s">
        <v>395</v>
      </c>
      <c r="F139" t="s">
        <v>616</v>
      </c>
      <c r="G139" t="s">
        <v>617</v>
      </c>
      <c r="H139" t="s">
        <v>618</v>
      </c>
      <c r="I139" t="s">
        <v>57</v>
      </c>
      <c r="J139" s="4" t="s">
        <v>58</v>
      </c>
      <c r="K139">
        <v>10</v>
      </c>
      <c r="L139">
        <v>12.5</v>
      </c>
      <c r="M139" s="2">
        <f t="shared" si="10"/>
        <v>1</v>
      </c>
      <c r="N139" s="2">
        <f t="shared" si="11"/>
        <v>1</v>
      </c>
    </row>
    <row r="140" spans="1:14" x14ac:dyDescent="0.25">
      <c r="A140">
        <v>12.8</v>
      </c>
      <c r="B140" t="s">
        <v>619</v>
      </c>
      <c r="C140" t="s">
        <v>25</v>
      </c>
      <c r="D140" t="s">
        <v>52</v>
      </c>
      <c r="E140" t="s">
        <v>395</v>
      </c>
      <c r="F140" t="s">
        <v>620</v>
      </c>
      <c r="G140" t="s">
        <v>621</v>
      </c>
      <c r="H140" t="s">
        <v>622</v>
      </c>
      <c r="I140" t="s">
        <v>57</v>
      </c>
      <c r="J140" s="4" t="s">
        <v>87</v>
      </c>
      <c r="K140">
        <v>2</v>
      </c>
      <c r="L140">
        <v>1</v>
      </c>
      <c r="M140" s="2">
        <f t="shared" si="10"/>
        <v>1.25</v>
      </c>
      <c r="N140" s="2">
        <f t="shared" si="11"/>
        <v>1</v>
      </c>
    </row>
    <row r="141" spans="1:14" x14ac:dyDescent="0.25">
      <c r="A141">
        <v>12.9</v>
      </c>
      <c r="B141" t="s">
        <v>623</v>
      </c>
      <c r="C141" t="s">
        <v>25</v>
      </c>
      <c r="D141" t="s">
        <v>52</v>
      </c>
      <c r="E141" t="s">
        <v>395</v>
      </c>
      <c r="F141" t="s">
        <v>624</v>
      </c>
      <c r="G141" t="s">
        <v>625</v>
      </c>
      <c r="H141" t="s">
        <v>626</v>
      </c>
      <c r="I141" t="s">
        <v>57</v>
      </c>
      <c r="J141" s="4" t="s">
        <v>58</v>
      </c>
      <c r="K141">
        <v>100</v>
      </c>
      <c r="L141">
        <v>95</v>
      </c>
      <c r="M141" s="2">
        <f t="shared" si="10"/>
        <v>0.5</v>
      </c>
      <c r="N141" s="2">
        <f t="shared" si="11"/>
        <v>0.5</v>
      </c>
    </row>
    <row r="142" spans="1:14" x14ac:dyDescent="0.25">
      <c r="A142" s="3">
        <v>12.1</v>
      </c>
      <c r="B142" t="s">
        <v>627</v>
      </c>
      <c r="C142" t="s">
        <v>25</v>
      </c>
      <c r="D142" t="s">
        <v>52</v>
      </c>
      <c r="E142" t="s">
        <v>167</v>
      </c>
      <c r="F142" t="s">
        <v>628</v>
      </c>
      <c r="G142" t="s">
        <v>629</v>
      </c>
      <c r="H142" t="s">
        <v>630</v>
      </c>
      <c r="I142" t="s">
        <v>65</v>
      </c>
      <c r="J142" s="4" t="s">
        <v>631</v>
      </c>
      <c r="K142">
        <v>60</v>
      </c>
      <c r="L142">
        <v>75</v>
      </c>
      <c r="M142" s="2">
        <f t="shared" si="10"/>
        <v>0.95</v>
      </c>
      <c r="N142" s="2">
        <f t="shared" si="11"/>
        <v>0.95</v>
      </c>
    </row>
    <row r="143" spans="1:14" x14ac:dyDescent="0.25">
      <c r="A143">
        <v>13.1</v>
      </c>
      <c r="B143" t="s">
        <v>632</v>
      </c>
      <c r="C143" t="s">
        <v>27</v>
      </c>
      <c r="D143" t="s">
        <v>52</v>
      </c>
      <c r="E143" t="s">
        <v>395</v>
      </c>
      <c r="F143" t="s">
        <v>633</v>
      </c>
      <c r="G143" t="s">
        <v>634</v>
      </c>
      <c r="H143" t="s">
        <v>635</v>
      </c>
      <c r="I143" t="s">
        <v>57</v>
      </c>
      <c r="J143" s="4" t="s">
        <v>58</v>
      </c>
      <c r="K143">
        <v>100</v>
      </c>
      <c r="L143">
        <v>90</v>
      </c>
      <c r="M143" s="2">
        <f t="shared" si="10"/>
        <v>1.25</v>
      </c>
      <c r="N143" s="2">
        <f t="shared" si="11"/>
        <v>1</v>
      </c>
    </row>
    <row r="144" spans="1:14" x14ac:dyDescent="0.25">
      <c r="A144">
        <v>13.2</v>
      </c>
      <c r="B144" t="s">
        <v>636</v>
      </c>
      <c r="C144" t="s">
        <v>27</v>
      </c>
      <c r="D144" t="s">
        <v>52</v>
      </c>
      <c r="E144" t="s">
        <v>167</v>
      </c>
      <c r="F144" t="s">
        <v>637</v>
      </c>
      <c r="G144" t="s">
        <v>638</v>
      </c>
      <c r="H144" t="s">
        <v>639</v>
      </c>
      <c r="I144" t="s">
        <v>65</v>
      </c>
      <c r="J144" s="4" t="s">
        <v>58</v>
      </c>
      <c r="K144">
        <v>100</v>
      </c>
      <c r="L144">
        <v>100</v>
      </c>
      <c r="M144" s="2">
        <f t="shared" si="10"/>
        <v>0.9</v>
      </c>
      <c r="N144" s="2">
        <f t="shared" si="11"/>
        <v>0.9</v>
      </c>
    </row>
    <row r="145" spans="1:14" x14ac:dyDescent="0.25">
      <c r="A145">
        <v>13.3</v>
      </c>
      <c r="B145" t="s">
        <v>640</v>
      </c>
      <c r="C145" t="s">
        <v>27</v>
      </c>
      <c r="D145" t="s">
        <v>52</v>
      </c>
      <c r="E145" t="s">
        <v>395</v>
      </c>
      <c r="F145" t="s">
        <v>641</v>
      </c>
      <c r="G145" t="s">
        <v>642</v>
      </c>
      <c r="H145" t="s">
        <v>643</v>
      </c>
      <c r="I145" t="s">
        <v>57</v>
      </c>
      <c r="J145" s="4" t="s">
        <v>58</v>
      </c>
      <c r="K145">
        <v>90</v>
      </c>
      <c r="L145">
        <v>80</v>
      </c>
      <c r="M145" s="2">
        <f t="shared" si="10"/>
        <v>1</v>
      </c>
      <c r="N145" s="2">
        <f t="shared" si="11"/>
        <v>1</v>
      </c>
    </row>
    <row r="146" spans="1:14" x14ac:dyDescent="0.25">
      <c r="A146">
        <v>13.4</v>
      </c>
      <c r="B146" t="s">
        <v>644</v>
      </c>
      <c r="C146" t="s">
        <v>27</v>
      </c>
      <c r="D146" t="s">
        <v>60</v>
      </c>
      <c r="E146" t="s">
        <v>440</v>
      </c>
      <c r="F146" t="s">
        <v>645</v>
      </c>
      <c r="G146" t="s">
        <v>646</v>
      </c>
      <c r="H146" t="s">
        <v>647</v>
      </c>
      <c r="I146" t="s">
        <v>65</v>
      </c>
      <c r="J146" s="4" t="s">
        <v>58</v>
      </c>
      <c r="K146">
        <v>25</v>
      </c>
      <c r="L146">
        <v>16.600000000000001</v>
      </c>
      <c r="M146" s="2">
        <f t="shared" si="10"/>
        <v>0.88888888888888884</v>
      </c>
      <c r="N146" s="2">
        <f t="shared" si="11"/>
        <v>0.88888888888888884</v>
      </c>
    </row>
    <row r="147" spans="1:14" x14ac:dyDescent="0.25">
      <c r="A147">
        <v>13.5</v>
      </c>
      <c r="B147" t="s">
        <v>648</v>
      </c>
      <c r="C147" t="s">
        <v>27</v>
      </c>
      <c r="D147" t="s">
        <v>60</v>
      </c>
      <c r="E147" t="s">
        <v>440</v>
      </c>
      <c r="F147" t="s">
        <v>649</v>
      </c>
      <c r="G147" t="s">
        <v>650</v>
      </c>
      <c r="H147" t="s">
        <v>651</v>
      </c>
      <c r="I147" t="s">
        <v>65</v>
      </c>
      <c r="J147" s="4" t="s">
        <v>58</v>
      </c>
      <c r="K147">
        <v>0</v>
      </c>
      <c r="L147">
        <v>0</v>
      </c>
      <c r="M147" s="2">
        <f t="shared" si="10"/>
        <v>1</v>
      </c>
      <c r="N147" s="2">
        <f t="shared" si="11"/>
        <v>1</v>
      </c>
    </row>
    <row r="148" spans="1:14" x14ac:dyDescent="0.25">
      <c r="A148">
        <v>13.6</v>
      </c>
      <c r="B148" t="s">
        <v>652</v>
      </c>
      <c r="C148" t="s">
        <v>27</v>
      </c>
      <c r="D148" t="s">
        <v>52</v>
      </c>
      <c r="E148" t="s">
        <v>395</v>
      </c>
      <c r="F148" t="s">
        <v>653</v>
      </c>
      <c r="G148" t="s">
        <v>654</v>
      </c>
      <c r="H148" t="s">
        <v>655</v>
      </c>
      <c r="I148" t="s">
        <v>57</v>
      </c>
      <c r="J148" s="4" t="s">
        <v>58</v>
      </c>
      <c r="K148">
        <v>100</v>
      </c>
      <c r="L148">
        <v>91.67</v>
      </c>
      <c r="M148" s="2">
        <f t="shared" si="10"/>
        <v>1</v>
      </c>
      <c r="N148" s="2">
        <f t="shared" si="11"/>
        <v>1</v>
      </c>
    </row>
    <row r="149" spans="1:14" x14ac:dyDescent="0.25">
      <c r="A149">
        <v>13.7</v>
      </c>
      <c r="B149" t="s">
        <v>656</v>
      </c>
      <c r="C149" t="s">
        <v>27</v>
      </c>
      <c r="D149" t="s">
        <v>52</v>
      </c>
      <c r="E149" t="s">
        <v>167</v>
      </c>
      <c r="F149" t="s">
        <v>657</v>
      </c>
      <c r="G149" t="s">
        <v>658</v>
      </c>
      <c r="H149" t="s">
        <v>659</v>
      </c>
      <c r="I149" t="s">
        <v>65</v>
      </c>
      <c r="J149" s="4" t="s">
        <v>58</v>
      </c>
      <c r="K149">
        <v>100</v>
      </c>
      <c r="L149">
        <v>83.3</v>
      </c>
      <c r="M149" s="2">
        <f t="shared" si="10"/>
        <v>0.91670000000000007</v>
      </c>
      <c r="N149" s="2">
        <f t="shared" si="11"/>
        <v>0.91670000000000007</v>
      </c>
    </row>
    <row r="150" spans="1:14" x14ac:dyDescent="0.25">
      <c r="A150">
        <v>13.8</v>
      </c>
      <c r="B150" t="s">
        <v>660</v>
      </c>
      <c r="C150" t="s">
        <v>27</v>
      </c>
      <c r="D150" t="s">
        <v>52</v>
      </c>
      <c r="E150" t="s">
        <v>167</v>
      </c>
      <c r="F150" t="s">
        <v>661</v>
      </c>
      <c r="G150" t="s">
        <v>662</v>
      </c>
      <c r="H150" t="s">
        <v>655</v>
      </c>
      <c r="I150" t="s">
        <v>65</v>
      </c>
      <c r="J150" s="4" t="s">
        <v>58</v>
      </c>
      <c r="K150">
        <v>100</v>
      </c>
      <c r="L150">
        <v>90</v>
      </c>
      <c r="M150" s="2">
        <f t="shared" si="10"/>
        <v>0.83299999999999996</v>
      </c>
      <c r="N150" s="2">
        <f t="shared" si="11"/>
        <v>0.83299999999999996</v>
      </c>
    </row>
    <row r="151" spans="1:14" x14ac:dyDescent="0.25">
      <c r="A151">
        <v>13.9</v>
      </c>
      <c r="B151" t="s">
        <v>663</v>
      </c>
      <c r="C151" t="s">
        <v>27</v>
      </c>
      <c r="D151" t="s">
        <v>60</v>
      </c>
      <c r="E151" t="s">
        <v>440</v>
      </c>
      <c r="F151" t="s">
        <v>664</v>
      </c>
      <c r="G151" t="s">
        <v>665</v>
      </c>
      <c r="H151" t="s">
        <v>666</v>
      </c>
      <c r="I151" t="s">
        <v>65</v>
      </c>
      <c r="J151" s="4" t="s">
        <v>58</v>
      </c>
      <c r="K151">
        <v>12</v>
      </c>
      <c r="L151">
        <v>12</v>
      </c>
      <c r="M151" s="2">
        <f t="shared" si="10"/>
        <v>0.9</v>
      </c>
      <c r="N151" s="2">
        <f t="shared" si="11"/>
        <v>0.9</v>
      </c>
    </row>
    <row r="152" spans="1:14" x14ac:dyDescent="0.25">
      <c r="A152">
        <v>13.1</v>
      </c>
      <c r="B152" t="s">
        <v>667</v>
      </c>
      <c r="C152" t="s">
        <v>27</v>
      </c>
      <c r="D152" t="s">
        <v>52</v>
      </c>
      <c r="E152" t="s">
        <v>167</v>
      </c>
      <c r="F152" t="s">
        <v>668</v>
      </c>
      <c r="G152" t="s">
        <v>669</v>
      </c>
      <c r="H152" t="s">
        <v>670</v>
      </c>
      <c r="I152" t="s">
        <v>65</v>
      </c>
      <c r="J152" s="4" t="s">
        <v>58</v>
      </c>
      <c r="K152">
        <v>100</v>
      </c>
      <c r="L152">
        <v>100</v>
      </c>
      <c r="M152" s="2">
        <f t="shared" ref="M152:M153" si="12">IFERROR(IF(D151="Positivo", L151/K151, IF(L151&lt;=K151, 1, K151/L151)), 0)</f>
        <v>1</v>
      </c>
      <c r="N152" s="2">
        <f t="shared" ref="N152:N153" si="13">IFERROR(IF(D151="Positivo", IF(L151&gt;=K151, 1, L151/K151), IF(L151&lt;=K151, 1, 0)), 0)</f>
        <v>1</v>
      </c>
    </row>
    <row r="153" spans="1:14" x14ac:dyDescent="0.25">
      <c r="A153">
        <v>13.11</v>
      </c>
      <c r="B153" t="s">
        <v>671</v>
      </c>
      <c r="C153" t="s">
        <v>27</v>
      </c>
      <c r="D153" t="s">
        <v>52</v>
      </c>
      <c r="E153" t="s">
        <v>395</v>
      </c>
      <c r="F153" t="s">
        <v>672</v>
      </c>
      <c r="G153" t="s">
        <v>673</v>
      </c>
      <c r="H153" t="s">
        <v>674</v>
      </c>
      <c r="I153" t="s">
        <v>57</v>
      </c>
      <c r="J153" s="4" t="s">
        <v>58</v>
      </c>
      <c r="K153">
        <v>100</v>
      </c>
      <c r="L153">
        <v>100</v>
      </c>
      <c r="M153" s="2">
        <f t="shared" si="12"/>
        <v>1</v>
      </c>
      <c r="N153" s="2">
        <f t="shared" si="13"/>
        <v>1</v>
      </c>
    </row>
  </sheetData>
  <conditionalFormatting sqref="M2:M153">
    <cfRule type="iconSet" priority="3">
      <iconSet>
        <cfvo type="percent" val="0"/>
        <cfvo type="num" val="0.75"/>
        <cfvo type="num" val="0.9"/>
      </iconSet>
    </cfRule>
  </conditionalFormatting>
  <dataValidations count="1">
    <dataValidation type="list" allowBlank="1" showInputMessage="1" showErrorMessage="1" sqref="D2:D150" xr:uid="{00000000-0002-0000-0100-000001000000}">
      <formula1>"Positivo,Negativo"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'1_Registros'!$B$2:$B$14</xm:f>
          </x14:formula1>
          <xm:sqref>C2:C150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topLeftCell="A2" workbookViewId="0">
      <selection activeCell="C55" sqref="C55"/>
    </sheetView>
  </sheetViews>
  <sheetFormatPr baseColWidth="10" defaultColWidth="9.140625" defaultRowHeight="15" x14ac:dyDescent="0.25"/>
  <cols>
    <col min="1" max="1" width="7.7109375" bestFit="1" customWidth="1"/>
    <col min="2" max="2" width="15.7109375" bestFit="1" customWidth="1"/>
    <col min="3" max="3" width="18.42578125" bestFit="1" customWidth="1"/>
    <col min="4" max="4" width="12.28515625" bestFit="1" customWidth="1"/>
    <col min="5" max="5" width="12" bestFit="1" customWidth="1"/>
    <col min="6" max="6" width="9.85546875" bestFit="1" customWidth="1"/>
    <col min="7" max="7" width="7.28515625" bestFit="1" customWidth="1"/>
  </cols>
  <sheetData>
    <row r="1" spans="1:7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</sheetData>
  <conditionalFormatting sqref="A2:G101">
    <cfRule type="expression" dxfId="0" priority="1">
      <formula>AND($F2&lt;TODAY(), $F2&lt;&gt;"", $G2&lt;&gt;"Terminado")</formula>
    </cfRule>
  </conditionalFormatting>
  <dataValidations count="1">
    <dataValidation type="list" allowBlank="1" showInputMessage="1" showErrorMessage="1" sqref="G2:G101" xr:uid="{00000000-0002-0000-0200-000000000000}">
      <formula1>"Pendiente,En proceso,Terminado"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"/>
  <sheetViews>
    <sheetView workbookViewId="0"/>
  </sheetViews>
  <sheetFormatPr baseColWidth="10" defaultColWidth="9.140625" defaultRowHeight="15" x14ac:dyDescent="0.25"/>
  <sheetData>
    <row r="3" spans="3:3" x14ac:dyDescent="0.25">
      <c r="C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"/>
  <sheetViews>
    <sheetView workbookViewId="0"/>
  </sheetViews>
  <sheetFormatPr baseColWidth="10" defaultColWidth="9.140625" defaultRowHeight="15" x14ac:dyDescent="0.25"/>
  <sheetData>
    <row r="3" spans="3:3" x14ac:dyDescent="0.25">
      <c r="C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1_Registros</vt:lpstr>
      <vt:lpstr>2_Metas</vt:lpstr>
      <vt:lpstr>3_Planes</vt:lpstr>
      <vt:lpstr>4_Informes</vt:lpstr>
      <vt:lpstr>5_Dashboard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 antonio carbajal ponte</cp:lastModifiedBy>
  <dcterms:created xsi:type="dcterms:W3CDTF">2026-05-26T01:27:50Z</dcterms:created>
  <dcterms:modified xsi:type="dcterms:W3CDTF">2026-05-27T15:14:08Z</dcterms:modified>
</cp:coreProperties>
</file>