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cumentos JB\Mejoras\KPI+S MEJORADOS\"/>
    </mc:Choice>
  </mc:AlternateContent>
  <xr:revisionPtr revIDLastSave="0" documentId="13_ncr:1_{278D38A3-4E7C-4644-8C53-FD54DF4BEDC7}" xr6:coauthVersionLast="47" xr6:coauthVersionMax="47" xr10:uidLastSave="{00000000-0000-0000-0000-000000000000}"/>
  <bookViews>
    <workbookView xWindow="-120" yWindow="-120" windowWidth="38640" windowHeight="21120" tabRatio="935" xr2:uid="{00000000-000D-0000-FFFF-FFFF00000000}"/>
  </bookViews>
  <sheets>
    <sheet name="Inicio" sheetId="2" r:id="rId1"/>
    <sheet name="Índice de formulas" sheetId="1" r:id="rId2"/>
    <sheet name="Leyenda de Evaluación de Indica" sheetId="13" r:id="rId3"/>
    <sheet name="Posicionamiento Keywords" sheetId="3" r:id="rId4"/>
    <sheet name="Velocidad de Carga" sheetId="4" r:id="rId5"/>
    <sheet name="Tasa de rebote" sheetId="5" r:id="rId6"/>
    <sheet name="Errores 404" sheetId="6" r:id="rId7"/>
    <sheet name="CTR en Google" sheetId="7" r:id="rId8"/>
    <sheet name="Mobile-Friendliness" sheetId="8" r:id="rId9"/>
    <sheet name="Conversión de contacto" sheetId="9" r:id="rId10"/>
    <sheet name="Actualización de contenido" sheetId="10" r:id="rId11"/>
    <sheet name="Uso de imágenes optimizadas" sheetId="11" r:id="rId12"/>
    <sheet name="Tiempo en página" sheetId="12" r:id="rId13"/>
    <sheet name="Datos de la hoja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5" roundtripDataChecksum="ooaWaGRhuMtGUW6IhhujcHCig2YRRxF2H4gW/vXNtbg="/>
    </ext>
  </extLst>
</workbook>
</file>

<file path=xl/calcChain.xml><?xml version="1.0" encoding="utf-8"?>
<calcChain xmlns="http://schemas.openxmlformats.org/spreadsheetml/2006/main">
  <c r="Y5" i="12" l="1"/>
  <c r="X5" i="12"/>
  <c r="W5" i="12"/>
  <c r="V5" i="12"/>
  <c r="R5" i="12"/>
  <c r="Q5" i="12"/>
  <c r="O5" i="12"/>
  <c r="Z5" i="11"/>
  <c r="Y5" i="11"/>
  <c r="X5" i="11"/>
  <c r="W5" i="11"/>
  <c r="S5" i="11"/>
  <c r="R5" i="11"/>
  <c r="P5" i="11"/>
  <c r="Y5" i="10"/>
  <c r="W5" i="10"/>
  <c r="X5" i="10" s="1"/>
  <c r="V5" i="10"/>
  <c r="Q5" i="10"/>
  <c r="R5" i="10"/>
  <c r="O5" i="10"/>
  <c r="Z5" i="9"/>
  <c r="Y5" i="9"/>
  <c r="X5" i="9"/>
  <c r="W5" i="9"/>
  <c r="S5" i="9"/>
  <c r="R5" i="9"/>
  <c r="P5" i="9"/>
  <c r="Z5" i="8"/>
  <c r="Y5" i="8"/>
  <c r="X5" i="8"/>
  <c r="P5" i="8"/>
  <c r="R5" i="8"/>
  <c r="W5" i="8"/>
  <c r="P5" i="7"/>
  <c r="X5" i="7" s="1"/>
  <c r="Y5" i="7" s="1"/>
  <c r="S5" i="7"/>
  <c r="Z5" i="7" s="1"/>
  <c r="R5" i="7"/>
  <c r="W5" i="7"/>
  <c r="R5" i="6"/>
  <c r="Y5" i="6" s="1"/>
  <c r="X5" i="6"/>
  <c r="W5" i="6"/>
  <c r="Q5" i="6"/>
  <c r="V5" i="6"/>
  <c r="O5" i="6"/>
  <c r="W5" i="5"/>
  <c r="S5" i="5"/>
  <c r="Z5" i="5" s="1"/>
  <c r="P5" i="5"/>
  <c r="X5" i="5" s="1"/>
  <c r="Y5" i="5" s="1"/>
  <c r="Y5" i="4"/>
  <c r="X5" i="4"/>
  <c r="W5" i="4"/>
  <c r="V5" i="4"/>
  <c r="R5" i="4"/>
  <c r="Q5" i="4"/>
  <c r="O5" i="4"/>
  <c r="AA5" i="3"/>
  <c r="Z5" i="3"/>
  <c r="Q5" i="3"/>
  <c r="Y5" i="3"/>
  <c r="S5" i="3"/>
  <c r="X5" i="3"/>
  <c r="T5" i="3"/>
  <c r="R5" i="5" l="1"/>
  <c r="S5" i="8"/>
</calcChain>
</file>

<file path=xl/sharedStrings.xml><?xml version="1.0" encoding="utf-8"?>
<sst xmlns="http://schemas.openxmlformats.org/spreadsheetml/2006/main" count="984" uniqueCount="199">
  <si>
    <t>KPI</t>
  </si>
  <si>
    <t>Fórmula</t>
  </si>
  <si>
    <t>Objetivo</t>
  </si>
  <si>
    <t>Función</t>
  </si>
  <si>
    <t>Importancia</t>
  </si>
  <si>
    <t>J</t>
  </si>
  <si>
    <t>Posicionamiento Keywords</t>
  </si>
  <si>
    <t>Velocidad de Carga</t>
  </si>
  <si>
    <t>Tasa de Rebote</t>
  </si>
  <si>
    <t>Errores 404</t>
  </si>
  <si>
    <t>CTR en Google</t>
  </si>
  <si>
    <t>Mobile-Friendliness</t>
  </si>
  <si>
    <t>Conversión de Contacto</t>
  </si>
  <si>
    <t>Actualización de Contenido</t>
  </si>
  <si>
    <t>Uso de Imágenes Optimizadas</t>
  </si>
  <si>
    <t>Tiempo en Página</t>
  </si>
  <si>
    <t xml:space="preserve"> Desarrollo y Programación Web</t>
  </si>
  <si>
    <t>Fuente</t>
  </si>
  <si>
    <t>Ranking en Google para keywords clave</t>
  </si>
  <si>
    <t>Search Console</t>
  </si>
  <si>
    <t>PageSpeed Insights (0–100)</t>
  </si>
  <si>
    <t>Garantizar una experiencia de usuario fluida y competitiva, con ≥70 en móvil, ≥80 en desktop y tiempo de carga ≤3 segundos.</t>
  </si>
  <si>
    <t>PageSpeed</t>
  </si>
  <si>
    <t>(Sesiones de 1 página / Total sesiones) × 100</t>
  </si>
  <si>
    <t>Google Analytics</t>
  </si>
  <si>
    <t>Nº de páginas con error 404</t>
  </si>
  <si>
    <t>Mantener la plataforma libre de errores críticos, con 0 páginas 404 mensuales, garantizando navegación confiable y sin enlaces rotos.</t>
  </si>
  <si>
    <t>WordPress</t>
  </si>
  <si>
    <t>(Clicks orgánicos / Impresiones) × 100</t>
  </si>
  <si>
    <t>Lighthouse</t>
  </si>
  <si>
    <t>Test Mobile-Friendly de Google</t>
  </si>
  <si>
    <t>Asegurar que el 100% de las páginas sean compatibles con móviles, garantizando accesibilidad y priorización en SEO móvil.</t>
  </si>
  <si>
    <t>(Formularios enviados / Visitas a “Contacto”) × 100</t>
  </si>
  <si>
    <t>Medir la efectividad del sitio para generar leads, alcanzando ≥10% de conversión en el formulario principal.</t>
  </si>
  <si>
    <t>SEO Starter Guide</t>
  </si>
  <si>
    <t>Nº publicaciones nuevas por mes</t>
  </si>
  <si>
    <t>Mantener el sitio fresco y relevante, con al menos 2 publicaciones mensuales alineadas a keywords comerciales y objetivos de engagement.</t>
  </si>
  <si>
    <t>% imágenes con ALT y compresión</t>
  </si>
  <si>
    <t>Garantizar accesibilidad y velocidad, con 100% de imágenes optimizadas (ALT text + ≤100KB).</t>
  </si>
  <si>
    <t>Promedio de tiempo en página (segundos)</t>
  </si>
  <si>
    <t>Asegurar interés y calidad de contenido, con un promedio &gt;60 segundos en páginas clave.</t>
  </si>
  <si>
    <t>Lograr visibilidad orgánica real en el mercado, alcanzando top ≤10 en al menos 10–15 keywords comerciales en 3 meses.</t>
  </si>
  <si>
    <t>Permite medir si el contenido y la estrategia SEO están posicionando la web en búsquedas relevantes para clientes potenciales, no solo en búsquedas de marca.</t>
  </si>
  <si>
    <t>Es crucial porque determina la capacidad de la empresa de ser encontrada por nuevos clientes, impactando directamente en la generación de leads y ventas.</t>
  </si>
  <si>
    <t>Evalúa el rendimiento técnico del sitio en diferentes dispositivos, asegurando que la infraestructura soporte una navegación rápida y sin fricciones.</t>
  </si>
  <si>
    <t>Impacta directamente en la experiencia del usuario, el SEO y la tasa de conversión; una web lenta genera abandono y pérdida de oportunidades comerciales.</t>
  </si>
  <si>
    <t>Indica si los usuarios encuentran valor en el contenido y deciden explorar más páginas, reflejando la calidad de la estructura y relevancia del sitio.</t>
  </si>
  <si>
    <t>Es vital porque una tasa alta significa que los visitantes no encuentran lo que buscan, afectando la credibilidad y la posibilidad de conversión.</t>
  </si>
  <si>
    <t>Monitorea la salud técnica del sitio, asegurando que los enlaces internos y externos funcionen correctamente y que no existan páginas inaccesibles.</t>
  </si>
  <si>
    <t>Es importante porque los errores 404 dañan la experiencia del usuario, reducen la confianza y penalizan el SEO, afectando la visibilidad orgánica.</t>
  </si>
  <si>
    <t>Incrementar la atracción de usuarios desde resultados orgánicos, aumentando el CTR en +1% mensual como indicador de relevancia.</t>
  </si>
  <si>
    <t>Mide la efectividad de títulos y descripciones en buscadores, reflejando si el contenido es atractivo y relevante para los usuarios.</t>
  </si>
  <si>
    <t>Es clave porque un CTR alto significa más tráfico sin costo adicional, mejorando la eficiencia de la estrategia digital.</t>
  </si>
  <si>
    <t>Evalúa la adaptabilidad del diseño web en dispositivos móviles, asegurando que la experiencia sea óptima en pantallas pequeñas.</t>
  </si>
  <si>
    <t>Es crítico porque Google prioriza sitios móviles y la mayoría de usuarios navega desde smartphones; un fallo aquí reduce visibilidad y conversión.</t>
  </si>
  <si>
    <t>Indica si los visitantes están motivados a interactuar y dejar sus datos, reflejando la calidad del diseño, copy y usabilidad del formulario.</t>
  </si>
  <si>
    <t>Es fundamental porque convierte tráfico en oportunidades comerciales reales; baja conversión significa que el sitio no cumple su propósito estratégico.</t>
  </si>
  <si>
    <t>Mide la disciplina en la generación de contenido nuevo, asegurando que la web se mantenga activa y atractiva para usuarios y buscadores.</t>
  </si>
  <si>
    <t>Es importante porque el contenido fresco mejora el SEO, aumenta el engagement y posiciona a la empresa como referente en su sector.</t>
  </si>
  <si>
    <t>Evalúa la calidad técnica del material visual, asegurando que las imágenes sean ligeras y accesibles para todos los usuarios.</t>
  </si>
  <si>
    <t>Es vital porque mejora la velocidad de carga, la accesibilidad para personas con discapacidad y el SEO on-page.</t>
  </si>
  <si>
    <t>Indica si el contenido es lo suficientemente atractivo y útil para mantener la atención del usuario.</t>
  </si>
  <si>
    <t>Es crucial porque refleja el nivel de engagement; un tiempo bajo indica que el contenido no aporta valor y afecta la conversión.</t>
  </si>
  <si>
    <t>Asegurar que el contenido retenga al visitante y genere interés.</t>
  </si>
  <si>
    <t>Posicionamiento keywords</t>
  </si>
  <si>
    <t>Velocidad de carga</t>
  </si>
  <si>
    <t>Tasa de rebote</t>
  </si>
  <si>
    <t>Conversión de contacto</t>
  </si>
  <si>
    <t>Actualización de contenido</t>
  </si>
  <si>
    <t>Uso de imágenes optimizadas</t>
  </si>
  <si>
    <t>Tiempo en página</t>
  </si>
  <si>
    <t>Semana</t>
  </si>
  <si>
    <t>Cuartil</t>
  </si>
  <si>
    <t>Fecha Inicio</t>
  </si>
  <si>
    <t>Fecha Fin</t>
  </si>
  <si>
    <t>Duración (Días)</t>
  </si>
  <si>
    <t>Fórmula base</t>
  </si>
  <si>
    <t>Responsable</t>
  </si>
  <si>
    <t>Observaciones</t>
  </si>
  <si>
    <t>Valor semanal</t>
  </si>
  <si>
    <t>Cumplimiento (%)</t>
  </si>
  <si>
    <t>Productividad</t>
  </si>
  <si>
    <t>Eficiencia (%)</t>
  </si>
  <si>
    <t>Eficacia (%)</t>
  </si>
  <si>
    <t>Efectividad (%)</t>
  </si>
  <si>
    <t>Rendimiento (%)</t>
  </si>
  <si>
    <t>Alertas</t>
  </si>
  <si>
    <t>Acciones correctivas</t>
  </si>
  <si>
    <t>Lograr top ≤10 en 3 meses</t>
  </si>
  <si>
    <t>Medir visibilidad orgánica real</t>
  </si>
  <si>
    <t>Impacta adquisición de clientes y leads</t>
  </si>
  <si>
    <t>Q1: 1/01 - 28/03</t>
  </si>
  <si>
    <t>Q1</t>
  </si>
  <si>
    <t>Q1 (Final)</t>
  </si>
  <si>
    <t>Q2: 29/03 - 28/06</t>
  </si>
  <si>
    <t>Q2</t>
  </si>
  <si>
    <t>Q2 (Final)</t>
  </si>
  <si>
    <t>Q3: 29/06 - 28/09</t>
  </si>
  <si>
    <t>Q3</t>
  </si>
  <si>
    <t>Q3 (Final)</t>
  </si>
  <si>
    <t>Q4: 29/09 - 31/12</t>
  </si>
  <si>
    <t>Q4</t>
  </si>
  <si>
    <t>Q4 (Final)</t>
  </si>
  <si>
    <t>Evaluar rendimiento técnico</t>
  </si>
  <si>
    <t>Afecta SEO, UX y conversión</t>
  </si>
  <si>
    <t>Medir retención y relevancia</t>
  </si>
  <si>
    <t>Indica calidad de contenido y UX</t>
  </si>
  <si>
    <t>0 errores críticos mensuales</t>
  </si>
  <si>
    <t>Salud técnica del sitio</t>
  </si>
  <si>
    <t>Evita penalización SEO y mala UX</t>
  </si>
  <si>
    <t>+1% mensual</t>
  </si>
  <si>
    <t>Medir atractivo en resultados</t>
  </si>
  <si>
    <t>Aumenta tráfico sin costo</t>
  </si>
  <si>
    <t>100% páginas aprobadas</t>
  </si>
  <si>
    <t>Garantizar experiencia en móviles</t>
  </si>
  <si>
    <t>Google prioriza sitios mobile</t>
  </si>
  <si>
    <t>≥10%</t>
  </si>
  <si>
    <t>Medir generación de leads</t>
  </si>
  <si>
    <t>Convierte tráfico en oportunidades</t>
  </si>
  <si>
    <t>≥2 mensuales</t>
  </si>
  <si>
    <t>Mantener sitio fresco y relevante</t>
  </si>
  <si>
    <t>Mejora SEO y engagement</t>
  </si>
  <si>
    <t>100% optimizadas</t>
  </si>
  <si>
    <t>Asegurar velocidad y accesibilidad</t>
  </si>
  <si>
    <t>Impacto en SEO on-page y UX</t>
  </si>
  <si>
    <t>&gt;60 seg</t>
  </si>
  <si>
    <t>Medir interés y calidad de contenido</t>
  </si>
  <si>
    <t>Señal directa de engagement</t>
  </si>
  <si>
    <t>Posición de la keyword</t>
  </si>
  <si>
    <t>Puntuación de la velocidad de carga</t>
  </si>
  <si>
    <t>Asegurar que el contenido retenga al visitante y genere interés</t>
  </si>
  <si>
    <t>Sesiones de 1 página</t>
  </si>
  <si>
    <t>Total sesiones</t>
  </si>
  <si>
    <t>Clicks orgánicos</t>
  </si>
  <si>
    <t>Impresiones</t>
  </si>
  <si>
    <t xml:space="preserve">% Test Mobile-Friendly de Google </t>
  </si>
  <si>
    <t>Formularios enviados</t>
  </si>
  <si>
    <t>Visitas a “Contacto”</t>
  </si>
  <si>
    <t>Horas reales</t>
  </si>
  <si>
    <t>Horas planificadas</t>
  </si>
  <si>
    <t>Keyboards optimizadas</t>
  </si>
  <si>
    <t>Keyboards analizadas</t>
  </si>
  <si>
    <t>Reforzar el enlazado interno (Internal Linking) hacia la página objetivo y optimizar la velocidad de carga (Core Web Vitals) para empujar la keyword al Top 10</t>
  </si>
  <si>
    <t>Se alcanzó la posición 12, subiendo 5 puestos respecto a la semana anterior. El exceso de horas se debió a una actualización del algoritmo de Google que requirió ajustes técnicos inmediatos</t>
  </si>
  <si>
    <t>≥70 móvil, ≥80 desktop, Ttl ≤3 s, ≥90 puntuación estándar</t>
  </si>
  <si>
    <t>Ninguna urgente. Para llegar a los 90 puntos (Meta), se recomienda revisar los scripts de terceros (como el chat de soporte) que están retrasando ligeramente el Tiempo de Interacción (TTI)</t>
  </si>
  <si>
    <t>Se alcanzó una puntuación de 85/100. La web carga en 2.1 segundos. La eficiencia aumentó gracias al uso de formatos de imagen WebP y la implementación de carga diferida (lazy loading)</t>
  </si>
  <si>
    <t>Ninguna. Se recomienda implementar mapas de calor (Heatmaps) en la página de servicios para ver qué secciones generan más interacción antes de que el usuario decida salir</t>
  </si>
  <si>
    <t>La tasa de rebote bajó al 45% tras mejorar la velocidad de carga (KPI anterior). El equipo técnico logró analizar el comportamiento del usuario 1 hora antes de lo previsto</t>
  </si>
  <si>
    <t>Ninguna inmediata. Se programa un escaneo automático semanal para prevenir que nuevos contenidos generen enlaces rotos</t>
  </si>
  <si>
    <t>Solo se detectaron 2 errores 404. El equipo web resolvió las incidencias en 2 horas, logrando una eficiencia del 150%. No se reportan enlaces rotos críticos en la página de ventas</t>
  </si>
  <si>
    <t>Ninguna. Mantener monitoreo. Si el CTR baja del 4%, se deberán reescribir las Meta Descripciones para las palabras clave con más impresiones</t>
  </si>
  <si>
    <t>Se alcanzó un CTR del 5%, logrando 125 clics desde Google. La optimización de títulos (copywriting) permitió superar la eficiencia planificada en un 20%</t>
  </si>
  <si>
    <t>Puntuación obtenida</t>
  </si>
  <si>
    <t>Ninguna. Se recomienda realizar pruebas de regresión cada vez que se publique un nuevo artículo en el blog para asegurar que no se rompa el diseño responsivo</t>
  </si>
  <si>
    <t>Se alcanzó el 100% en la prueba de optimización móvil. Se corrigieron problemas de tamaño de botones y legibilidad de fuentes en dispositivos pequeños</t>
  </si>
  <si>
    <t>Ninguna. Se recomienda realizar un test A/B la próxima semana cambiando el color del botón 'Enviar' para intentar subir al 15%</t>
  </si>
  <si>
    <t>Se logró una tasa de conversión del 12.5%, superando la meta del 10%. La reducción de campos en el formulario y la inclusión de un botón de WhatsApp directo mejoraron los resultados</t>
  </si>
  <si>
    <t>Ninguna. Seguir con la planificación de la segunda publicación de la quincena para asegurar el cumplimiento del objetivo mensual (Meta KPI)</t>
  </si>
  <si>
    <t>Se completó la primera publicación del mes ('Tendencias contables 2026'). Se logró una eficiencia alta al usar plantillas preestablecidas para los gráficos</t>
  </si>
  <si>
    <t>Puntuación de cumplimiento técnico</t>
  </si>
  <si>
    <t>Actualizar el plugin de optimización o migrar a un servicio externo (como TinyPNG o Cloudinary) para automatizar el proceso y recuperar la eficiencia en la Semana 2</t>
  </si>
  <si>
    <t>Se alcanzó un 95% de optimización. Sin embargo, se superaron las horas planificadas debido a fallos técnicos en el servidor de compresión que requirieron intervención manual</t>
  </si>
  <si>
    <t>Ninguna respecto al contenido. Se recomienda optimizar el peso de los scripts adicionales para que el exceso de tiempo de implementación no se repita en la Semana 2</t>
  </si>
  <si>
    <t>El tiempo promedio subió a 75 segundos, validando que el nuevo diseño del blog facilita la lectura. La eficiencia bajó debido a problemas técnicos con el despliegue de nuevas fuentes tipográficas</t>
  </si>
  <si>
    <t>Estado / Color</t>
  </si>
  <si>
    <t>Nivel de Alerta</t>
  </si>
  <si>
    <t>Criterios de Evaluación (¿Cuándo te encuentras en este nivel?)</t>
  </si>
  <si>
    <r>
      <rPr>
        <sz val="11"/>
        <color theme="9"/>
        <rFont val="Aptos Narrow"/>
        <family val="2"/>
        <scheme val="minor"/>
      </rPr>
      <t>🟢</t>
    </r>
    <r>
      <rPr>
        <sz val="11"/>
        <color theme="1"/>
        <rFont val="Aptos Narrow"/>
        <scheme val="minor"/>
      </rPr>
      <t xml:space="preserve"> Verde</t>
    </r>
  </si>
  <si>
    <t>Métricas Óptimas (Desempeño destacado)</t>
  </si>
  <si>
    <t>• Meta KPI: El valor semanal y meta del KPI supera o se mantiene dentro de los límites esperados de la meta.</t>
  </si>
  <si>
    <t>• Cumplimiento: Se encuentra entre el 80% y el 100%.</t>
  </si>
  <si>
    <t>• Productividad: Supera la meta de producción asignada.</t>
  </si>
  <si>
    <t>• Indicadores de Calidad (Eficiencia, Eficacia, Efectividad, Rendimiento): Oscilan en el nivel más alto, entre el 90% y el 100%.</t>
  </si>
  <si>
    <t>• Gestión del Tiempo: Las horas reales trabajadas son menores a las horas planificadas. Esto indica que la función y el KPI se lograron en menor tiempo, demostrando alta eficiencia operativa.</t>
  </si>
  <si>
    <r>
      <rPr>
        <sz val="11"/>
        <color rgb="FFFFC000"/>
        <rFont val="Aptos Narrow"/>
        <family val="2"/>
        <scheme val="minor"/>
      </rPr>
      <t>🟡</t>
    </r>
    <r>
      <rPr>
        <sz val="11"/>
        <color theme="1"/>
        <rFont val="Aptos Narrow"/>
        <scheme val="minor"/>
      </rPr>
      <t xml:space="preserve"> Amarillo</t>
    </r>
  </si>
  <si>
    <t>Problemas (Requiere atención y ajustes)</t>
  </si>
  <si>
    <t>• Meta KPI: Hay entre 1 y 2 indicadores que se encuentran por debajo de la meta esperada.</t>
  </si>
  <si>
    <t>• Cumplimiento (%): Se estanca u oscila en un nivel de alerta, entre el 60% y el 79.99%.</t>
  </si>
  <si>
    <t>• Productividad: Casi alcanza la meta de producción por 0.10 o 0.20 decimas con dificultad o presenta inconsistencias.</t>
  </si>
  <si>
    <t>• Indicadores de Calidad (Eficiencia, Eficacia, Efectividad, Rendimiento): Presentan variaciones y caen por debajo del nivel óptimo (entre 60% y 89.99%).</t>
  </si>
  <si>
    <t>• Gestión del Tiempo: Las horas reales igualan o superan ligeramente a las planificadas, indicando posibles retrasos o reprocesos.</t>
  </si>
  <si>
    <r>
      <rPr>
        <sz val="11"/>
        <color rgb="FFFF0000"/>
        <rFont val="Aptos Narrow"/>
        <family val="2"/>
        <scheme val="minor"/>
      </rPr>
      <t>🔴</t>
    </r>
    <r>
      <rPr>
        <sz val="11"/>
        <color theme="1"/>
        <rFont val="Aptos Narrow"/>
        <scheme val="minor"/>
      </rPr>
      <t xml:space="preserve"> Rojo</t>
    </r>
  </si>
  <si>
    <t>Peligro (Situación crítica)</t>
  </si>
  <si>
    <t>• Meta KPI: No se cumplen las metas establecidas y la desviación se considera irrecuperable.</t>
  </si>
  <si>
    <t>• Cumplimiento (%): Ha caído críticamente por debajo del 60%.</t>
  </si>
  <si>
    <t>• Productividad: Deficiente, muy por debajo de la meta de producción exigida.</t>
  </si>
  <si>
    <t>• Indicadores de Calidad (Eficiencia, Eficacia, Efectividad, Rendimiento): Se desploman por debajo del 60%.</t>
  </si>
  <si>
    <t>• Gestión del Tiempo: Las horas reales superan ampliamente las planificadas, lo cual evidencia ineficiencia crítica en la función.</t>
  </si>
  <si>
    <t>Leyenda de evaluación de indicadores (KPIs) del área Desarrollo y Programación Web</t>
  </si>
  <si>
    <t>Verde (Métricas óptimas)</t>
  </si>
  <si>
    <t>Amarillo (Problemas)</t>
  </si>
  <si>
    <t>Rojo (Peligro)</t>
  </si>
  <si>
    <t>Meta KPI &lt;=</t>
  </si>
  <si>
    <t>Meta Producción &lt;=</t>
  </si>
  <si>
    <t>Meta KPI ≥</t>
  </si>
  <si>
    <t>Meta Producción ≥</t>
  </si>
  <si>
    <t>Meta KPI &gt;=</t>
  </si>
  <si>
    <t>Leonardo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</si>
</sst>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24"/>
      <color theme="1"/>
      <name val="Arial"/>
    </font>
    <font>
      <b/>
      <sz val="14"/>
      <color theme="1"/>
      <name val="Arial"/>
    </font>
    <font>
      <sz val="14"/>
      <color theme="1"/>
      <name val="Arial"/>
    </font>
    <font>
      <sz val="11"/>
      <color theme="1"/>
      <name val="Arial"/>
    </font>
    <font>
      <sz val="11"/>
      <color theme="1"/>
      <name val="Aptos Narrow"/>
    </font>
    <font>
      <u/>
      <sz val="14"/>
      <color theme="1"/>
      <name val="Arial"/>
    </font>
    <font>
      <sz val="11"/>
      <color theme="1"/>
      <name val="Aptos Narrow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24"/>
      <color theme="1"/>
      <name val="Arial"/>
      <family val="2"/>
    </font>
    <font>
      <sz val="11"/>
      <color theme="9"/>
      <name val="Aptos Narrow"/>
      <family val="2"/>
      <scheme val="minor"/>
    </font>
    <font>
      <sz val="11"/>
      <color rgb="FFFFC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F2D0"/>
        <bgColor rgb="FFD9F2D0"/>
      </patternFill>
    </fill>
    <fill>
      <patternFill patternType="solid">
        <fgColor rgb="FFE8E8E8"/>
        <bgColor rgb="FFE8E8E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E2EFD9"/>
        <bgColor rgb="FFE2EFD9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9" fillId="0" borderId="0" applyFont="0" applyFill="0" applyBorder="0" applyAlignment="0" applyProtection="0"/>
    <xf numFmtId="0" fontId="1" fillId="0" borderId="1"/>
  </cellStyleXfs>
  <cellXfs count="40">
    <xf numFmtId="0" fontId="0" fillId="0" borderId="0" xfId="0"/>
    <xf numFmtId="0" fontId="4" fillId="2" borderId="2" xfId="0" applyFont="1" applyFill="1" applyBorder="1"/>
    <xf numFmtId="0" fontId="4" fillId="3" borderId="2" xfId="0" applyFont="1" applyFill="1" applyBorder="1"/>
    <xf numFmtId="0" fontId="5" fillId="3" borderId="2" xfId="0" applyFont="1" applyFill="1" applyBorder="1"/>
    <xf numFmtId="0" fontId="6" fillId="0" borderId="0" xfId="0" applyFont="1"/>
    <xf numFmtId="0" fontId="5" fillId="3" borderId="2" xfId="0" applyFont="1" applyFill="1" applyBorder="1" applyAlignment="1">
      <alignment wrapText="1"/>
    </xf>
    <xf numFmtId="0" fontId="8" fillId="3" borderId="2" xfId="0" applyFont="1" applyFill="1" applyBorder="1" applyAlignment="1">
      <alignment wrapText="1"/>
    </xf>
    <xf numFmtId="0" fontId="0" fillId="4" borderId="6" xfId="0" applyFill="1" applyBorder="1"/>
    <xf numFmtId="0" fontId="0" fillId="5" borderId="7" xfId="0" applyFill="1" applyBorder="1"/>
    <xf numFmtId="14" fontId="0" fillId="5" borderId="7" xfId="0" applyNumberFormat="1" applyFill="1" applyBorder="1"/>
    <xf numFmtId="0" fontId="0" fillId="5" borderId="6" xfId="0" applyFill="1" applyBorder="1"/>
    <xf numFmtId="14" fontId="0" fillId="5" borderId="6" xfId="0" applyNumberFormat="1" applyFill="1" applyBorder="1"/>
    <xf numFmtId="0" fontId="0" fillId="5" borderId="8" xfId="0" applyFill="1" applyBorder="1"/>
    <xf numFmtId="14" fontId="0" fillId="5" borderId="8" xfId="0" applyNumberFormat="1" applyFill="1" applyBorder="1"/>
    <xf numFmtId="0" fontId="0" fillId="5" borderId="9" xfId="0" applyFill="1" applyBorder="1"/>
    <xf numFmtId="14" fontId="0" fillId="5" borderId="9" xfId="0" applyNumberFormat="1" applyFill="1" applyBorder="1"/>
    <xf numFmtId="0" fontId="0" fillId="0" borderId="1" xfId="0" applyBorder="1"/>
    <xf numFmtId="0" fontId="0" fillId="5" borderId="10" xfId="0" applyFill="1" applyBorder="1"/>
    <xf numFmtId="14" fontId="0" fillId="5" borderId="10" xfId="0" applyNumberFormat="1" applyFill="1" applyBorder="1"/>
    <xf numFmtId="0" fontId="2" fillId="4" borderId="6" xfId="0" applyFont="1" applyFill="1" applyBorder="1"/>
    <xf numFmtId="2" fontId="0" fillId="5" borderId="6" xfId="0" applyNumberFormat="1" applyFill="1" applyBorder="1"/>
    <xf numFmtId="2" fontId="0" fillId="5" borderId="8" xfId="0" applyNumberFormat="1" applyFill="1" applyBorder="1"/>
    <xf numFmtId="10" fontId="0" fillId="5" borderId="6" xfId="1" applyNumberFormat="1" applyFont="1" applyFill="1" applyBorder="1"/>
    <xf numFmtId="10" fontId="0" fillId="5" borderId="8" xfId="1" applyNumberFormat="1" applyFont="1" applyFill="1" applyBorder="1"/>
    <xf numFmtId="10" fontId="0" fillId="5" borderId="6" xfId="0" applyNumberFormat="1" applyFill="1" applyBorder="1"/>
    <xf numFmtId="0" fontId="0" fillId="5" borderId="6" xfId="1" applyNumberFormat="1" applyFont="1" applyFill="1" applyBorder="1"/>
    <xf numFmtId="2" fontId="0" fillId="5" borderId="6" xfId="1" applyNumberFormat="1" applyFont="1" applyFill="1" applyBorder="1"/>
    <xf numFmtId="2" fontId="0" fillId="5" borderId="8" xfId="1" applyNumberFormat="1" applyFont="1" applyFill="1" applyBorder="1"/>
    <xf numFmtId="0" fontId="1" fillId="0" borderId="1" xfId="2"/>
    <xf numFmtId="0" fontId="11" fillId="4" borderId="6" xfId="2" applyFont="1" applyFill="1" applyBorder="1" applyAlignment="1">
      <alignment horizontal="center"/>
    </xf>
    <xf numFmtId="0" fontId="1" fillId="7" borderId="6" xfId="2" applyFill="1" applyBorder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7" fillId="0" borderId="4" xfId="0" applyFont="1" applyBorder="1"/>
    <xf numFmtId="0" fontId="7" fillId="0" borderId="5" xfId="0" applyFont="1" applyBorder="1"/>
    <xf numFmtId="0" fontId="1" fillId="7" borderId="6" xfId="2" applyFill="1" applyBorder="1" applyAlignment="1">
      <alignment horizontal="center" vertical="center"/>
    </xf>
    <xf numFmtId="0" fontId="12" fillId="6" borderId="3" xfId="2" applyFont="1" applyFill="1" applyBorder="1" applyAlignment="1">
      <alignment horizontal="center"/>
    </xf>
    <xf numFmtId="0" fontId="12" fillId="6" borderId="4" xfId="2" applyFont="1" applyFill="1" applyBorder="1" applyAlignment="1">
      <alignment horizontal="center"/>
    </xf>
    <xf numFmtId="0" fontId="12" fillId="6" borderId="5" xfId="2" applyFont="1" applyFill="1" applyBorder="1" applyAlignment="1">
      <alignment horizontal="center"/>
    </xf>
  </cellXfs>
  <cellStyles count="3">
    <cellStyle name="Normal" xfId="0" builtinId="0"/>
    <cellStyle name="Normal 2" xfId="2" xr:uid="{DF9D3010-894A-4E45-B87B-51F60507F4BD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Actualizaci&#243;n de contenido'!A1"/><Relationship Id="rId3" Type="http://schemas.openxmlformats.org/officeDocument/2006/relationships/hyperlink" Target="#'Tasa de rebote'!A1"/><Relationship Id="rId7" Type="http://schemas.openxmlformats.org/officeDocument/2006/relationships/hyperlink" Target="#'Conversi&#243;n de contacto'!A1"/><Relationship Id="rId12" Type="http://schemas.openxmlformats.org/officeDocument/2006/relationships/hyperlink" Target="#'Leyenda de Evaluaci&#243;n de Indica'!A1"/><Relationship Id="rId2" Type="http://schemas.openxmlformats.org/officeDocument/2006/relationships/hyperlink" Target="#'Velocidad de Carga'!A1"/><Relationship Id="rId1" Type="http://schemas.openxmlformats.org/officeDocument/2006/relationships/hyperlink" Target="#'Posicionamiento Keywords'!A1"/><Relationship Id="rId6" Type="http://schemas.openxmlformats.org/officeDocument/2006/relationships/hyperlink" Target="#'Mobile-Friendliness'!A1"/><Relationship Id="rId11" Type="http://schemas.openxmlformats.org/officeDocument/2006/relationships/hyperlink" Target="#'&#205;ndice de formulas'!A1"/><Relationship Id="rId5" Type="http://schemas.openxmlformats.org/officeDocument/2006/relationships/hyperlink" Target="#'CTR en Google'!A1"/><Relationship Id="rId10" Type="http://schemas.openxmlformats.org/officeDocument/2006/relationships/hyperlink" Target="#'Tiempo en p&#225;gina'!A1"/><Relationship Id="rId4" Type="http://schemas.openxmlformats.org/officeDocument/2006/relationships/hyperlink" Target="#'Errores 404'!A1"/><Relationship Id="rId9" Type="http://schemas.openxmlformats.org/officeDocument/2006/relationships/hyperlink" Target="#'Uso de im&#225;genes optimizadas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199405</xdr:colOff>
      <xdr:row>3</xdr:row>
      <xdr:rowOff>42482</xdr:rowOff>
    </xdr:from>
    <xdr:to>
      <xdr:col>10</xdr:col>
      <xdr:colOff>47005</xdr:colOff>
      <xdr:row>8</xdr:row>
      <xdr:rowOff>13907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2CCB6D-2EF2-D47C-0F03-67C6E3AF188A}"/>
            </a:ext>
          </a:extLst>
        </xdr:cNvPr>
        <xdr:cNvSpPr/>
      </xdr:nvSpPr>
      <xdr:spPr>
        <a:xfrm>
          <a:off x="5533405" y="818089"/>
          <a:ext cx="2133600" cy="923925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100" b="1">
              <a:solidFill>
                <a:schemeClr val="bg1"/>
              </a:solidFill>
            </a:rPr>
            <a:t>Posicionamiento Keywords</a:t>
          </a:r>
        </a:p>
      </xdr:txBody>
    </xdr:sp>
    <xdr:clientData/>
  </xdr:twoCellAnchor>
  <xdr:twoCellAnchor>
    <xdr:from>
      <xdr:col>10</xdr:col>
      <xdr:colOff>143987</xdr:colOff>
      <xdr:row>3</xdr:row>
      <xdr:rowOff>42482</xdr:rowOff>
    </xdr:from>
    <xdr:to>
      <xdr:col>12</xdr:col>
      <xdr:colOff>753587</xdr:colOff>
      <xdr:row>8</xdr:row>
      <xdr:rowOff>13907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997408-C89F-45A4-B20F-4C17D01B8048}"/>
            </a:ext>
          </a:extLst>
        </xdr:cNvPr>
        <xdr:cNvSpPr/>
      </xdr:nvSpPr>
      <xdr:spPr>
        <a:xfrm>
          <a:off x="7763987" y="818089"/>
          <a:ext cx="2133600" cy="923925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100" b="1">
              <a:solidFill>
                <a:schemeClr val="bg1"/>
              </a:solidFill>
            </a:rPr>
            <a:t>Velocidad de Carga</a:t>
          </a:r>
        </a:p>
      </xdr:txBody>
    </xdr:sp>
    <xdr:clientData/>
  </xdr:twoCellAnchor>
  <xdr:twoCellAnchor>
    <xdr:from>
      <xdr:col>13</xdr:col>
      <xdr:colOff>88569</xdr:colOff>
      <xdr:row>3</xdr:row>
      <xdr:rowOff>42482</xdr:rowOff>
    </xdr:from>
    <xdr:to>
      <xdr:col>15</xdr:col>
      <xdr:colOff>698169</xdr:colOff>
      <xdr:row>8</xdr:row>
      <xdr:rowOff>13907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69DC8E0-99AA-4A9E-A5C2-DA7F27FE02C9}"/>
            </a:ext>
          </a:extLst>
        </xdr:cNvPr>
        <xdr:cNvSpPr/>
      </xdr:nvSpPr>
      <xdr:spPr>
        <a:xfrm>
          <a:off x="9994569" y="818089"/>
          <a:ext cx="2133600" cy="923925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100" b="1">
              <a:solidFill>
                <a:schemeClr val="bg1"/>
              </a:solidFill>
            </a:rPr>
            <a:t>Tasa de Rebote</a:t>
          </a:r>
        </a:p>
      </xdr:txBody>
    </xdr:sp>
    <xdr:clientData/>
  </xdr:twoCellAnchor>
  <xdr:twoCellAnchor>
    <xdr:from>
      <xdr:col>16</xdr:col>
      <xdr:colOff>33151</xdr:colOff>
      <xdr:row>3</xdr:row>
      <xdr:rowOff>42482</xdr:rowOff>
    </xdr:from>
    <xdr:to>
      <xdr:col>18</xdr:col>
      <xdr:colOff>642751</xdr:colOff>
      <xdr:row>8</xdr:row>
      <xdr:rowOff>13907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A57C926-A63C-4820-BEFB-78051554ED90}"/>
            </a:ext>
          </a:extLst>
        </xdr:cNvPr>
        <xdr:cNvSpPr/>
      </xdr:nvSpPr>
      <xdr:spPr>
        <a:xfrm>
          <a:off x="12225151" y="818089"/>
          <a:ext cx="2133600" cy="923925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100" b="1">
              <a:solidFill>
                <a:schemeClr val="bg1"/>
              </a:solidFill>
            </a:rPr>
            <a:t>Errores 404</a:t>
          </a:r>
        </a:p>
      </xdr:txBody>
    </xdr:sp>
    <xdr:clientData/>
  </xdr:twoCellAnchor>
  <xdr:twoCellAnchor>
    <xdr:from>
      <xdr:col>18</xdr:col>
      <xdr:colOff>739733</xdr:colOff>
      <xdr:row>3</xdr:row>
      <xdr:rowOff>42482</xdr:rowOff>
    </xdr:from>
    <xdr:to>
      <xdr:col>21</xdr:col>
      <xdr:colOff>587333</xdr:colOff>
      <xdr:row>8</xdr:row>
      <xdr:rowOff>13907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5A57009-8992-4186-B00F-976F740A7F19}"/>
            </a:ext>
          </a:extLst>
        </xdr:cNvPr>
        <xdr:cNvSpPr/>
      </xdr:nvSpPr>
      <xdr:spPr>
        <a:xfrm>
          <a:off x="14455733" y="818089"/>
          <a:ext cx="2133600" cy="923925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100" b="1">
              <a:solidFill>
                <a:schemeClr val="bg1"/>
              </a:solidFill>
            </a:rPr>
            <a:t>CTR en Google</a:t>
          </a:r>
        </a:p>
      </xdr:txBody>
    </xdr:sp>
    <xdr:clientData/>
  </xdr:twoCellAnchor>
  <xdr:twoCellAnchor>
    <xdr:from>
      <xdr:col>21</xdr:col>
      <xdr:colOff>684315</xdr:colOff>
      <xdr:row>3</xdr:row>
      <xdr:rowOff>42482</xdr:rowOff>
    </xdr:from>
    <xdr:to>
      <xdr:col>24</xdr:col>
      <xdr:colOff>531915</xdr:colOff>
      <xdr:row>8</xdr:row>
      <xdr:rowOff>13907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552B496-7050-404B-AFA2-60D7F0E02C8D}"/>
            </a:ext>
          </a:extLst>
        </xdr:cNvPr>
        <xdr:cNvSpPr/>
      </xdr:nvSpPr>
      <xdr:spPr>
        <a:xfrm>
          <a:off x="16686315" y="818089"/>
          <a:ext cx="2133600" cy="923925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100" b="1">
              <a:solidFill>
                <a:schemeClr val="bg1"/>
              </a:solidFill>
            </a:rPr>
            <a:t>Mobile-Friendliness</a:t>
          </a:r>
        </a:p>
      </xdr:txBody>
    </xdr:sp>
    <xdr:clientData/>
  </xdr:twoCellAnchor>
  <xdr:twoCellAnchor>
    <xdr:from>
      <xdr:col>24</xdr:col>
      <xdr:colOff>628897</xdr:colOff>
      <xdr:row>3</xdr:row>
      <xdr:rowOff>42482</xdr:rowOff>
    </xdr:from>
    <xdr:to>
      <xdr:col>27</xdr:col>
      <xdr:colOff>476497</xdr:colOff>
      <xdr:row>8</xdr:row>
      <xdr:rowOff>13907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9F5CB74-11C1-4A82-93F3-F12E57C8B901}"/>
            </a:ext>
          </a:extLst>
        </xdr:cNvPr>
        <xdr:cNvSpPr/>
      </xdr:nvSpPr>
      <xdr:spPr>
        <a:xfrm>
          <a:off x="18916897" y="818089"/>
          <a:ext cx="2133600" cy="923925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100" b="1">
              <a:solidFill>
                <a:schemeClr val="bg1"/>
              </a:solidFill>
            </a:rPr>
            <a:t>Conversión de Contacto</a:t>
          </a:r>
        </a:p>
      </xdr:txBody>
    </xdr:sp>
    <xdr:clientData/>
  </xdr:twoCellAnchor>
  <xdr:twoCellAnchor>
    <xdr:from>
      <xdr:col>27</xdr:col>
      <xdr:colOff>573479</xdr:colOff>
      <xdr:row>3</xdr:row>
      <xdr:rowOff>42482</xdr:rowOff>
    </xdr:from>
    <xdr:to>
      <xdr:col>30</xdr:col>
      <xdr:colOff>421079</xdr:colOff>
      <xdr:row>8</xdr:row>
      <xdr:rowOff>13907</xdr:rowOff>
    </xdr:to>
    <xdr:sp macro="" textlink="">
      <xdr:nvSpPr>
        <xdr:cNvPr id="10" name="Rectángulo: esquinas redondeada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6A5FC25-79D1-4BED-8B17-156D4EA9842B}"/>
            </a:ext>
          </a:extLst>
        </xdr:cNvPr>
        <xdr:cNvSpPr/>
      </xdr:nvSpPr>
      <xdr:spPr>
        <a:xfrm>
          <a:off x="21147479" y="818089"/>
          <a:ext cx="2133600" cy="923925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100" b="1">
              <a:solidFill>
                <a:schemeClr val="bg1"/>
              </a:solidFill>
            </a:rPr>
            <a:t>Actualización de Contenido</a:t>
          </a:r>
        </a:p>
      </xdr:txBody>
    </xdr:sp>
    <xdr:clientData/>
  </xdr:twoCellAnchor>
  <xdr:twoCellAnchor>
    <xdr:from>
      <xdr:col>30</xdr:col>
      <xdr:colOff>518061</xdr:colOff>
      <xdr:row>3</xdr:row>
      <xdr:rowOff>42482</xdr:rowOff>
    </xdr:from>
    <xdr:to>
      <xdr:col>33</xdr:col>
      <xdr:colOff>365661</xdr:colOff>
      <xdr:row>8</xdr:row>
      <xdr:rowOff>13907</xdr:rowOff>
    </xdr:to>
    <xdr:sp macro="" textlink="">
      <xdr:nvSpPr>
        <xdr:cNvPr id="11" name="Rectángulo: esquinas redondeada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21D9005-B2FE-48FE-8D8A-8E798C48FBBF}"/>
            </a:ext>
          </a:extLst>
        </xdr:cNvPr>
        <xdr:cNvSpPr/>
      </xdr:nvSpPr>
      <xdr:spPr>
        <a:xfrm>
          <a:off x="23378061" y="818089"/>
          <a:ext cx="2133600" cy="923925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100" b="1">
              <a:solidFill>
                <a:schemeClr val="bg1"/>
              </a:solidFill>
            </a:rPr>
            <a:t>Uso de Imágenes Optimizadas</a:t>
          </a:r>
        </a:p>
      </xdr:txBody>
    </xdr:sp>
    <xdr:clientData/>
  </xdr:twoCellAnchor>
  <xdr:twoCellAnchor>
    <xdr:from>
      <xdr:col>33</xdr:col>
      <xdr:colOff>462641</xdr:colOff>
      <xdr:row>3</xdr:row>
      <xdr:rowOff>42482</xdr:rowOff>
    </xdr:from>
    <xdr:to>
      <xdr:col>36</xdr:col>
      <xdr:colOff>310241</xdr:colOff>
      <xdr:row>8</xdr:row>
      <xdr:rowOff>13907</xdr:rowOff>
    </xdr:to>
    <xdr:sp macro="" textlink="">
      <xdr:nvSpPr>
        <xdr:cNvPr id="12" name="Rectángulo: esquinas redondeadas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DD888EF-A82A-40E8-AAA0-AF1A32B9BD77}"/>
            </a:ext>
          </a:extLst>
        </xdr:cNvPr>
        <xdr:cNvSpPr/>
      </xdr:nvSpPr>
      <xdr:spPr>
        <a:xfrm>
          <a:off x="25608641" y="818089"/>
          <a:ext cx="2133600" cy="923925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100" b="1">
              <a:solidFill>
                <a:schemeClr val="bg1"/>
              </a:solidFill>
            </a:rPr>
            <a:t>Tiempo en Página</a:t>
          </a:r>
        </a:p>
      </xdr:txBody>
    </xdr:sp>
    <xdr:clientData/>
  </xdr:twoCellAnchor>
  <xdr:twoCellAnchor>
    <xdr:from>
      <xdr:col>1</xdr:col>
      <xdr:colOff>310241</xdr:colOff>
      <xdr:row>3</xdr:row>
      <xdr:rowOff>42482</xdr:rowOff>
    </xdr:from>
    <xdr:to>
      <xdr:col>4</xdr:col>
      <xdr:colOff>157841</xdr:colOff>
      <xdr:row>8</xdr:row>
      <xdr:rowOff>13907</xdr:rowOff>
    </xdr:to>
    <xdr:sp macro="" textlink="">
      <xdr:nvSpPr>
        <xdr:cNvPr id="8" name="Rectángulo: esquinas redondeadas 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217D4A9-50C3-4B75-A4B6-D91E9DE78B3C}"/>
            </a:ext>
          </a:extLst>
        </xdr:cNvPr>
        <xdr:cNvSpPr/>
      </xdr:nvSpPr>
      <xdr:spPr>
        <a:xfrm>
          <a:off x="1072241" y="818089"/>
          <a:ext cx="2133600" cy="923925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100" b="1">
              <a:solidFill>
                <a:schemeClr val="bg1"/>
              </a:solidFill>
            </a:rPr>
            <a:t>Índice de formulas</a:t>
          </a:r>
        </a:p>
      </xdr:txBody>
    </xdr:sp>
    <xdr:clientData/>
  </xdr:twoCellAnchor>
  <xdr:twoCellAnchor>
    <xdr:from>
      <xdr:col>4</xdr:col>
      <xdr:colOff>254823</xdr:colOff>
      <xdr:row>3</xdr:row>
      <xdr:rowOff>42482</xdr:rowOff>
    </xdr:from>
    <xdr:to>
      <xdr:col>7</xdr:col>
      <xdr:colOff>102423</xdr:colOff>
      <xdr:row>8</xdr:row>
      <xdr:rowOff>13907</xdr:rowOff>
    </xdr:to>
    <xdr:sp macro="" textlink="">
      <xdr:nvSpPr>
        <xdr:cNvPr id="13" name="Rectángulo: esquinas redondeadas 1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34E52CE-06D5-4839-967A-E12CF94E69BB}"/>
            </a:ext>
          </a:extLst>
        </xdr:cNvPr>
        <xdr:cNvSpPr/>
      </xdr:nvSpPr>
      <xdr:spPr>
        <a:xfrm>
          <a:off x="3302823" y="818089"/>
          <a:ext cx="2133600" cy="923925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 eaLnBrk="1" fontAlgn="auto" latinLnBrk="0" hangingPunct="1"/>
          <a:r>
            <a:rPr lang="es-MX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Leyenda de evaluación de indicadores (KPIs)</a:t>
          </a:r>
          <a:endParaRPr lang="es-MX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117231</xdr:rowOff>
    </xdr:from>
    <xdr:to>
      <xdr:col>0</xdr:col>
      <xdr:colOff>666750</xdr:colOff>
      <xdr:row>2</xdr:row>
      <xdr:rowOff>57352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2C57B6-C481-47A1-B943-1A3029FEF8F1}"/>
            </a:ext>
          </a:extLst>
        </xdr:cNvPr>
        <xdr:cNvSpPr/>
      </xdr:nvSpPr>
      <xdr:spPr>
        <a:xfrm>
          <a:off x="0" y="117231"/>
          <a:ext cx="666750" cy="518948"/>
        </a:xfrm>
        <a:prstGeom prst="leftArrow">
          <a:avLst/>
        </a:prstGeom>
        <a:solidFill>
          <a:schemeClr val="accent6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124557</xdr:rowOff>
    </xdr:from>
    <xdr:to>
      <xdr:col>0</xdr:col>
      <xdr:colOff>704850</xdr:colOff>
      <xdr:row>2</xdr:row>
      <xdr:rowOff>90853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41F77C-9EE7-4D46-95C4-EDAA5D60EEBA}"/>
            </a:ext>
          </a:extLst>
        </xdr:cNvPr>
        <xdr:cNvSpPr/>
      </xdr:nvSpPr>
      <xdr:spPr>
        <a:xfrm>
          <a:off x="0" y="124557"/>
          <a:ext cx="704850" cy="556846"/>
        </a:xfrm>
        <a:prstGeom prst="leftArrow">
          <a:avLst/>
        </a:prstGeom>
        <a:solidFill>
          <a:schemeClr val="accent6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131380</xdr:rowOff>
    </xdr:from>
    <xdr:to>
      <xdr:col>0</xdr:col>
      <xdr:colOff>643759</xdr:colOff>
      <xdr:row>2</xdr:row>
      <xdr:rowOff>65690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CF1C80-620A-343C-B9DF-506B8335A5E4}"/>
            </a:ext>
          </a:extLst>
        </xdr:cNvPr>
        <xdr:cNvSpPr/>
      </xdr:nvSpPr>
      <xdr:spPr>
        <a:xfrm>
          <a:off x="0" y="131380"/>
          <a:ext cx="643759" cy="518948"/>
        </a:xfrm>
        <a:prstGeom prst="leftArrow">
          <a:avLst/>
        </a:prstGeom>
        <a:solidFill>
          <a:schemeClr val="accent6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117544</xdr:rowOff>
    </xdr:from>
    <xdr:to>
      <xdr:col>0</xdr:col>
      <xdr:colOff>643759</xdr:colOff>
      <xdr:row>2</xdr:row>
      <xdr:rowOff>43279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FC4411-5913-470B-8CC9-A17F47DA070F}"/>
            </a:ext>
          </a:extLst>
        </xdr:cNvPr>
        <xdr:cNvSpPr/>
      </xdr:nvSpPr>
      <xdr:spPr>
        <a:xfrm>
          <a:off x="0" y="117544"/>
          <a:ext cx="643759" cy="513448"/>
        </a:xfrm>
        <a:prstGeom prst="leftArrow">
          <a:avLst/>
        </a:prstGeom>
        <a:solidFill>
          <a:schemeClr val="accent6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121595</xdr:rowOff>
    </xdr:from>
    <xdr:to>
      <xdr:col>0</xdr:col>
      <xdr:colOff>643759</xdr:colOff>
      <xdr:row>2</xdr:row>
      <xdr:rowOff>51412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27D486-F427-49AD-8D81-679501D17B93}"/>
            </a:ext>
          </a:extLst>
        </xdr:cNvPr>
        <xdr:cNvSpPr/>
      </xdr:nvSpPr>
      <xdr:spPr>
        <a:xfrm>
          <a:off x="0" y="121595"/>
          <a:ext cx="643759" cy="517530"/>
        </a:xfrm>
        <a:prstGeom prst="leftArrow">
          <a:avLst/>
        </a:prstGeom>
        <a:solidFill>
          <a:schemeClr val="accent6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120318</xdr:rowOff>
    </xdr:from>
    <xdr:to>
      <xdr:col>0</xdr:col>
      <xdr:colOff>643759</xdr:colOff>
      <xdr:row>2</xdr:row>
      <xdr:rowOff>46295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7BCE70-D86F-4541-BF78-AB34AE69EEC1}"/>
            </a:ext>
          </a:extLst>
        </xdr:cNvPr>
        <xdr:cNvSpPr/>
      </xdr:nvSpPr>
      <xdr:spPr>
        <a:xfrm>
          <a:off x="0" y="120318"/>
          <a:ext cx="643759" cy="517530"/>
        </a:xfrm>
        <a:prstGeom prst="leftArrow">
          <a:avLst/>
        </a:prstGeom>
        <a:solidFill>
          <a:schemeClr val="accent6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136921</xdr:rowOff>
    </xdr:from>
    <xdr:to>
      <xdr:col>0</xdr:col>
      <xdr:colOff>643759</xdr:colOff>
      <xdr:row>2</xdr:row>
      <xdr:rowOff>59138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B060F7-DF7B-4AFB-BEA8-DD68D04803F4}"/>
            </a:ext>
          </a:extLst>
        </xdr:cNvPr>
        <xdr:cNvSpPr/>
      </xdr:nvSpPr>
      <xdr:spPr>
        <a:xfrm>
          <a:off x="0" y="136921"/>
          <a:ext cx="643759" cy="517530"/>
        </a:xfrm>
        <a:prstGeom prst="leftArrow">
          <a:avLst/>
        </a:prstGeom>
        <a:solidFill>
          <a:schemeClr val="accent6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125451</xdr:rowOff>
    </xdr:from>
    <xdr:to>
      <xdr:col>0</xdr:col>
      <xdr:colOff>643759</xdr:colOff>
      <xdr:row>2</xdr:row>
      <xdr:rowOff>52663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B5CDDF-5B91-4C19-8A08-EE84007C9999}"/>
            </a:ext>
          </a:extLst>
        </xdr:cNvPr>
        <xdr:cNvSpPr/>
      </xdr:nvSpPr>
      <xdr:spPr>
        <a:xfrm>
          <a:off x="0" y="125451"/>
          <a:ext cx="643759" cy="517297"/>
        </a:xfrm>
        <a:prstGeom prst="leftArrow">
          <a:avLst/>
        </a:prstGeom>
        <a:solidFill>
          <a:schemeClr val="accent6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Inicio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125650</xdr:rowOff>
    </xdr:from>
    <xdr:to>
      <xdr:col>0</xdr:col>
      <xdr:colOff>643759</xdr:colOff>
      <xdr:row>2</xdr:row>
      <xdr:rowOff>54049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532474-0097-4675-8048-29A38A6C7FF7}"/>
            </a:ext>
          </a:extLst>
        </xdr:cNvPr>
        <xdr:cNvSpPr/>
      </xdr:nvSpPr>
      <xdr:spPr>
        <a:xfrm>
          <a:off x="0" y="125650"/>
          <a:ext cx="643759" cy="516112"/>
        </a:xfrm>
        <a:prstGeom prst="leftArrow">
          <a:avLst/>
        </a:prstGeom>
        <a:solidFill>
          <a:schemeClr val="accent6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Inicio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134213</xdr:rowOff>
    </xdr:from>
    <xdr:to>
      <xdr:col>0</xdr:col>
      <xdr:colOff>643759</xdr:colOff>
      <xdr:row>2</xdr:row>
      <xdr:rowOff>62059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1BFDDE-A3FA-4F31-BD04-831F50DA89C2}"/>
            </a:ext>
          </a:extLst>
        </xdr:cNvPr>
        <xdr:cNvSpPr/>
      </xdr:nvSpPr>
      <xdr:spPr>
        <a:xfrm>
          <a:off x="0" y="134213"/>
          <a:ext cx="643759" cy="516664"/>
        </a:xfrm>
        <a:prstGeom prst="leftArrow">
          <a:avLst/>
        </a:prstGeom>
        <a:solidFill>
          <a:schemeClr val="accent6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Inicio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130095</xdr:rowOff>
    </xdr:from>
    <xdr:to>
      <xdr:col>0</xdr:col>
      <xdr:colOff>643759</xdr:colOff>
      <xdr:row>2</xdr:row>
      <xdr:rowOff>57307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737C62-258A-410A-8EEA-90931DDD3C9E}"/>
            </a:ext>
          </a:extLst>
        </xdr:cNvPr>
        <xdr:cNvSpPr/>
      </xdr:nvSpPr>
      <xdr:spPr>
        <a:xfrm>
          <a:off x="0" y="130095"/>
          <a:ext cx="643759" cy="517297"/>
        </a:xfrm>
        <a:prstGeom prst="leftArrow">
          <a:avLst/>
        </a:prstGeom>
        <a:solidFill>
          <a:schemeClr val="accent6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Inicio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129701</xdr:rowOff>
    </xdr:from>
    <xdr:to>
      <xdr:col>0</xdr:col>
      <xdr:colOff>643759</xdr:colOff>
      <xdr:row>2</xdr:row>
      <xdr:rowOff>58100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7A3A69-FB45-4ABA-BDB9-4443E262B4ED}"/>
            </a:ext>
          </a:extLst>
        </xdr:cNvPr>
        <xdr:cNvSpPr/>
      </xdr:nvSpPr>
      <xdr:spPr>
        <a:xfrm>
          <a:off x="0" y="129701"/>
          <a:ext cx="643759" cy="516112"/>
        </a:xfrm>
        <a:prstGeom prst="leftArrow">
          <a:avLst/>
        </a:prstGeom>
        <a:solidFill>
          <a:schemeClr val="accent6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F12E6-CEAE-42B5-BCF7-BC1A7F98CB17}">
  <dimension ref="B1:AK21"/>
  <sheetViews>
    <sheetView showGridLines="0" tabSelected="1" zoomScale="130" zoomScaleNormal="130" workbookViewId="0">
      <selection activeCell="G23" sqref="G23"/>
    </sheetView>
  </sheetViews>
  <sheetFormatPr baseColWidth="10" defaultRowHeight="15" x14ac:dyDescent="0.25"/>
  <sheetData>
    <row r="1" spans="2:37" ht="15.75" thickBot="1" x14ac:dyDescent="0.3"/>
    <row r="2" spans="2:37" ht="30.75" customHeight="1" thickBot="1" x14ac:dyDescent="0.45">
      <c r="B2" s="31" t="s">
        <v>16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3"/>
    </row>
    <row r="21" ht="0.75" customHeight="1" x14ac:dyDescent="0.25"/>
  </sheetData>
  <mergeCells count="1">
    <mergeCell ref="B2:AK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showGridLines="0" zoomScale="85" zoomScaleNormal="85" workbookViewId="0">
      <selection activeCell="D27" sqref="D27"/>
    </sheetView>
  </sheetViews>
  <sheetFormatPr baseColWidth="10" defaultColWidth="12.5703125" defaultRowHeight="15" customHeight="1" x14ac:dyDescent="0.25"/>
  <cols>
    <col min="1" max="1" width="10.5703125" customWidth="1"/>
    <col min="2" max="2" width="39.28515625" bestFit="1" customWidth="1"/>
    <col min="3" max="3" width="70.140625" bestFit="1" customWidth="1"/>
    <col min="4" max="4" width="63.140625" customWidth="1"/>
    <col min="5" max="5" width="69.140625" bestFit="1" customWidth="1"/>
    <col min="6" max="6" width="70.42578125" bestFit="1" customWidth="1"/>
    <col min="7" max="7" width="24.140625" bestFit="1" customWidth="1"/>
    <col min="8" max="26" width="10.5703125" customWidth="1"/>
  </cols>
  <sheetData>
    <row r="1" spans="1:7" ht="15" customHeight="1" thickBot="1" x14ac:dyDescent="0.3"/>
    <row r="2" spans="1:7" ht="30.75" thickBot="1" x14ac:dyDescent="0.45">
      <c r="B2" s="31" t="s">
        <v>16</v>
      </c>
      <c r="C2" s="34"/>
      <c r="D2" s="34"/>
      <c r="E2" s="34"/>
      <c r="F2" s="34"/>
      <c r="G2" s="35"/>
    </row>
    <row r="4" spans="1:7" ht="35.1" customHeight="1" x14ac:dyDescent="0.2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17</v>
      </c>
    </row>
    <row r="5" spans="1:7" ht="54.95" customHeight="1" x14ac:dyDescent="0.25">
      <c r="B5" s="3" t="s">
        <v>64</v>
      </c>
      <c r="C5" s="2" t="s">
        <v>18</v>
      </c>
      <c r="D5" s="5" t="s">
        <v>41</v>
      </c>
      <c r="E5" s="5" t="s">
        <v>42</v>
      </c>
      <c r="F5" s="5" t="s">
        <v>43</v>
      </c>
      <c r="G5" s="6" t="s">
        <v>19</v>
      </c>
    </row>
    <row r="6" spans="1:7" ht="54.95" customHeight="1" x14ac:dyDescent="0.25">
      <c r="B6" s="3" t="s">
        <v>65</v>
      </c>
      <c r="C6" s="2" t="s">
        <v>20</v>
      </c>
      <c r="D6" s="5" t="s">
        <v>21</v>
      </c>
      <c r="E6" s="5" t="s">
        <v>44</v>
      </c>
      <c r="F6" s="5" t="s">
        <v>45</v>
      </c>
      <c r="G6" s="6" t="s">
        <v>22</v>
      </c>
    </row>
    <row r="7" spans="1:7" ht="54.95" customHeight="1" x14ac:dyDescent="0.25">
      <c r="B7" s="3" t="s">
        <v>66</v>
      </c>
      <c r="C7" s="2" t="s">
        <v>23</v>
      </c>
      <c r="D7" s="5" t="s">
        <v>63</v>
      </c>
      <c r="E7" s="5" t="s">
        <v>46</v>
      </c>
      <c r="F7" s="5" t="s">
        <v>47</v>
      </c>
      <c r="G7" s="6" t="s">
        <v>24</v>
      </c>
    </row>
    <row r="8" spans="1:7" ht="54.95" customHeight="1" x14ac:dyDescent="0.25">
      <c r="A8" s="4" t="s">
        <v>5</v>
      </c>
      <c r="B8" s="3" t="s">
        <v>9</v>
      </c>
      <c r="C8" s="2" t="s">
        <v>25</v>
      </c>
      <c r="D8" s="5" t="s">
        <v>26</v>
      </c>
      <c r="E8" s="5" t="s">
        <v>48</v>
      </c>
      <c r="F8" s="5" t="s">
        <v>49</v>
      </c>
      <c r="G8" s="6" t="s">
        <v>27</v>
      </c>
    </row>
    <row r="9" spans="1:7" ht="54.95" customHeight="1" x14ac:dyDescent="0.25">
      <c r="B9" s="3" t="s">
        <v>10</v>
      </c>
      <c r="C9" s="2" t="s">
        <v>28</v>
      </c>
      <c r="D9" s="5" t="s">
        <v>50</v>
      </c>
      <c r="E9" s="5" t="s">
        <v>51</v>
      </c>
      <c r="F9" s="5" t="s">
        <v>52</v>
      </c>
      <c r="G9" s="5" t="s">
        <v>29</v>
      </c>
    </row>
    <row r="10" spans="1:7" ht="54.95" customHeight="1" x14ac:dyDescent="0.25">
      <c r="B10" s="3" t="s">
        <v>11</v>
      </c>
      <c r="C10" s="2" t="s">
        <v>30</v>
      </c>
      <c r="D10" s="5" t="s">
        <v>31</v>
      </c>
      <c r="E10" s="5" t="s">
        <v>53</v>
      </c>
      <c r="F10" s="5" t="s">
        <v>54</v>
      </c>
      <c r="G10" s="5" t="s">
        <v>29</v>
      </c>
    </row>
    <row r="11" spans="1:7" ht="54.95" customHeight="1" x14ac:dyDescent="0.25">
      <c r="B11" s="3" t="s">
        <v>67</v>
      </c>
      <c r="C11" s="2" t="s">
        <v>32</v>
      </c>
      <c r="D11" s="5" t="s">
        <v>33</v>
      </c>
      <c r="E11" s="5" t="s">
        <v>55</v>
      </c>
      <c r="F11" s="5" t="s">
        <v>56</v>
      </c>
      <c r="G11" s="5" t="s">
        <v>34</v>
      </c>
    </row>
    <row r="12" spans="1:7" ht="54.95" customHeight="1" x14ac:dyDescent="0.25">
      <c r="B12" s="3" t="s">
        <v>68</v>
      </c>
      <c r="C12" s="2" t="s">
        <v>35</v>
      </c>
      <c r="D12" s="5" t="s">
        <v>36</v>
      </c>
      <c r="E12" s="5" t="s">
        <v>57</v>
      </c>
      <c r="F12" s="5" t="s">
        <v>58</v>
      </c>
      <c r="G12" s="5" t="s">
        <v>34</v>
      </c>
    </row>
    <row r="13" spans="1:7" ht="54.95" customHeight="1" x14ac:dyDescent="0.25">
      <c r="B13" s="3" t="s">
        <v>69</v>
      </c>
      <c r="C13" s="2" t="s">
        <v>37</v>
      </c>
      <c r="D13" s="5" t="s">
        <v>38</v>
      </c>
      <c r="E13" s="5" t="s">
        <v>59</v>
      </c>
      <c r="F13" s="5" t="s">
        <v>60</v>
      </c>
      <c r="G13" s="5" t="s">
        <v>34</v>
      </c>
    </row>
    <row r="14" spans="1:7" ht="54.95" customHeight="1" x14ac:dyDescent="0.25">
      <c r="B14" s="3" t="s">
        <v>70</v>
      </c>
      <c r="C14" s="2" t="s">
        <v>39</v>
      </c>
      <c r="D14" s="5" t="s">
        <v>40</v>
      </c>
      <c r="E14" s="5" t="s">
        <v>61</v>
      </c>
      <c r="F14" s="5" t="s">
        <v>62</v>
      </c>
      <c r="G14" s="6" t="s">
        <v>24</v>
      </c>
    </row>
    <row r="16" spans="1:7" x14ac:dyDescent="0.25">
      <c r="B16" s="4"/>
    </row>
    <row r="17" spans="2:2" x14ac:dyDescent="0.25">
      <c r="B17" s="4"/>
    </row>
    <row r="21" spans="2:2" ht="15.75" customHeight="1" x14ac:dyDescent="0.25"/>
    <row r="22" spans="2:2" ht="15.75" customHeight="1" x14ac:dyDescent="0.25"/>
    <row r="23" spans="2:2" ht="15.75" customHeight="1" x14ac:dyDescent="0.25"/>
    <row r="24" spans="2:2" ht="15.75" customHeight="1" x14ac:dyDescent="0.25"/>
    <row r="25" spans="2:2" ht="15.75" customHeight="1" x14ac:dyDescent="0.25"/>
    <row r="26" spans="2:2" ht="15.75" customHeight="1" x14ac:dyDescent="0.25"/>
    <row r="27" spans="2:2" ht="15.75" customHeight="1" x14ac:dyDescent="0.25"/>
    <row r="28" spans="2:2" ht="15.75" customHeight="1" x14ac:dyDescent="0.25"/>
    <row r="29" spans="2:2" ht="15.75" customHeight="1" x14ac:dyDescent="0.25"/>
    <row r="30" spans="2:2" ht="15.75" customHeight="1" x14ac:dyDescent="0.25"/>
    <row r="31" spans="2:2" ht="15.75" customHeight="1" x14ac:dyDescent="0.25"/>
    <row r="32" spans="2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2:G2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6635E-8CFA-40C3-AA3F-8411A7FDD592}">
  <dimension ref="B1:D19"/>
  <sheetViews>
    <sheetView showGridLines="0" zoomScale="115" zoomScaleNormal="115" workbookViewId="0">
      <selection activeCell="D38" sqref="D38"/>
    </sheetView>
  </sheetViews>
  <sheetFormatPr baseColWidth="10" defaultRowHeight="15" x14ac:dyDescent="0.25"/>
  <cols>
    <col min="1" max="1" width="11.42578125" style="28"/>
    <col min="2" max="2" width="17.42578125" style="28" bestFit="1" customWidth="1"/>
    <col min="3" max="3" width="39.140625" style="28" bestFit="1" customWidth="1"/>
    <col min="4" max="4" width="184" style="28" bestFit="1" customWidth="1"/>
    <col min="5" max="16384" width="11.42578125" style="28"/>
  </cols>
  <sheetData>
    <row r="1" spans="2:4" ht="15.75" thickBot="1" x14ac:dyDescent="0.3"/>
    <row r="2" spans="2:4" ht="30.75" thickBot="1" x14ac:dyDescent="0.45">
      <c r="B2" s="37" t="s">
        <v>189</v>
      </c>
      <c r="C2" s="38"/>
      <c r="D2" s="39"/>
    </row>
    <row r="4" spans="2:4" x14ac:dyDescent="0.25">
      <c r="B4" s="29" t="s">
        <v>165</v>
      </c>
      <c r="C4" s="29" t="s">
        <v>166</v>
      </c>
      <c r="D4" s="29" t="s">
        <v>167</v>
      </c>
    </row>
    <row r="5" spans="2:4" x14ac:dyDescent="0.25">
      <c r="B5" s="36" t="s">
        <v>168</v>
      </c>
      <c r="C5" s="36" t="s">
        <v>169</v>
      </c>
      <c r="D5" s="30" t="s">
        <v>170</v>
      </c>
    </row>
    <row r="6" spans="2:4" x14ac:dyDescent="0.25">
      <c r="B6" s="36"/>
      <c r="C6" s="36"/>
      <c r="D6" s="30" t="s">
        <v>171</v>
      </c>
    </row>
    <row r="7" spans="2:4" x14ac:dyDescent="0.25">
      <c r="B7" s="36"/>
      <c r="C7" s="36"/>
      <c r="D7" s="30" t="s">
        <v>172</v>
      </c>
    </row>
    <row r="8" spans="2:4" x14ac:dyDescent="0.25">
      <c r="B8" s="36"/>
      <c r="C8" s="36"/>
      <c r="D8" s="30" t="s">
        <v>173</v>
      </c>
    </row>
    <row r="9" spans="2:4" x14ac:dyDescent="0.25">
      <c r="B9" s="36"/>
      <c r="C9" s="36"/>
      <c r="D9" s="30" t="s">
        <v>174</v>
      </c>
    </row>
    <row r="10" spans="2:4" x14ac:dyDescent="0.25">
      <c r="B10" s="36" t="s">
        <v>175</v>
      </c>
      <c r="C10" s="36" t="s">
        <v>176</v>
      </c>
      <c r="D10" s="30" t="s">
        <v>177</v>
      </c>
    </row>
    <row r="11" spans="2:4" x14ac:dyDescent="0.25">
      <c r="B11" s="36"/>
      <c r="C11" s="36"/>
      <c r="D11" s="30" t="s">
        <v>178</v>
      </c>
    </row>
    <row r="12" spans="2:4" x14ac:dyDescent="0.25">
      <c r="B12" s="36"/>
      <c r="C12" s="36"/>
      <c r="D12" s="30" t="s">
        <v>179</v>
      </c>
    </row>
    <row r="13" spans="2:4" x14ac:dyDescent="0.25">
      <c r="B13" s="36"/>
      <c r="C13" s="36"/>
      <c r="D13" s="30" t="s">
        <v>180</v>
      </c>
    </row>
    <row r="14" spans="2:4" x14ac:dyDescent="0.25">
      <c r="B14" s="36"/>
      <c r="C14" s="36"/>
      <c r="D14" s="30" t="s">
        <v>181</v>
      </c>
    </row>
    <row r="15" spans="2:4" x14ac:dyDescent="0.25">
      <c r="B15" s="36" t="s">
        <v>182</v>
      </c>
      <c r="C15" s="36" t="s">
        <v>183</v>
      </c>
      <c r="D15" s="30" t="s">
        <v>184</v>
      </c>
    </row>
    <row r="16" spans="2:4" x14ac:dyDescent="0.25">
      <c r="B16" s="36"/>
      <c r="C16" s="36"/>
      <c r="D16" s="30" t="s">
        <v>185</v>
      </c>
    </row>
    <row r="17" spans="2:4" x14ac:dyDescent="0.25">
      <c r="B17" s="36"/>
      <c r="C17" s="36"/>
      <c r="D17" s="30" t="s">
        <v>186</v>
      </c>
    </row>
    <row r="18" spans="2:4" x14ac:dyDescent="0.25">
      <c r="B18" s="36"/>
      <c r="C18" s="36"/>
      <c r="D18" s="30" t="s">
        <v>187</v>
      </c>
    </row>
    <row r="19" spans="2:4" x14ac:dyDescent="0.25">
      <c r="B19" s="36"/>
      <c r="C19" s="36"/>
      <c r="D19" s="30" t="s">
        <v>188</v>
      </c>
    </row>
  </sheetData>
  <mergeCells count="7">
    <mergeCell ref="B15:B19"/>
    <mergeCell ref="C15:C19"/>
    <mergeCell ref="B2:D2"/>
    <mergeCell ref="B5:B9"/>
    <mergeCell ref="C5:C9"/>
    <mergeCell ref="B10:B14"/>
    <mergeCell ref="C10:C1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EBCD3-2E29-406C-93B1-90CE5D40D5ED}">
  <dimension ref="B1:AC57"/>
  <sheetViews>
    <sheetView showGridLines="0" topLeftCell="K1" zoomScale="115" zoomScaleNormal="115" workbookViewId="0">
      <selection activeCell="L5" sqref="L5"/>
    </sheetView>
  </sheetViews>
  <sheetFormatPr baseColWidth="10" defaultRowHeight="15" x14ac:dyDescent="0.25"/>
  <cols>
    <col min="1" max="1" width="10.28515625" customWidth="1"/>
    <col min="2" max="2" width="9.85546875" bestFit="1" customWidth="1"/>
    <col min="3" max="3" width="19.140625" bestFit="1" customWidth="1"/>
    <col min="4" max="4" width="13.5703125" bestFit="1" customWidth="1"/>
    <col min="5" max="5" width="13.140625" bestFit="1" customWidth="1"/>
    <col min="6" max="6" width="16.85546875" bestFit="1" customWidth="1"/>
    <col min="7" max="7" width="27.140625" bestFit="1" customWidth="1"/>
    <col min="8" max="8" width="36.140625" bestFit="1" customWidth="1"/>
    <col min="9" max="9" width="23.85546875" bestFit="1" customWidth="1"/>
    <col min="10" max="10" width="28.28515625" bestFit="1" customWidth="1"/>
    <col min="11" max="11" width="36.28515625" bestFit="1" customWidth="1"/>
    <col min="12" max="12" width="12.42578125" bestFit="1" customWidth="1"/>
    <col min="13" max="13" width="172.85546875" bestFit="1" customWidth="1"/>
    <col min="14" max="14" width="22" bestFit="1" customWidth="1"/>
    <col min="15" max="15" width="20.7109375" bestFit="1" customWidth="1"/>
    <col min="16" max="16" width="21.42578125" bestFit="1" customWidth="1"/>
    <col min="17" max="17" width="13.85546875" bestFit="1" customWidth="1"/>
    <col min="18" max="18" width="11" bestFit="1" customWidth="1"/>
    <col min="19" max="19" width="17" bestFit="1" customWidth="1"/>
    <col min="20" max="20" width="13.28515625" bestFit="1" customWidth="1"/>
    <col min="21" max="21" width="18.42578125" bestFit="1" customWidth="1"/>
    <col min="22" max="22" width="12.140625" bestFit="1" customWidth="1"/>
    <col min="23" max="23" width="18" bestFit="1" customWidth="1"/>
    <col min="24" max="24" width="13" bestFit="1" customWidth="1"/>
    <col min="25" max="25" width="11.42578125" bestFit="1" customWidth="1"/>
    <col min="26" max="26" width="14" bestFit="1" customWidth="1"/>
    <col min="27" max="27" width="15.5703125" bestFit="1" customWidth="1"/>
    <col min="28" max="28" width="20.140625" bestFit="1" customWidth="1"/>
    <col min="29" max="29" width="141.5703125" bestFit="1" customWidth="1"/>
  </cols>
  <sheetData>
    <row r="1" spans="2:29" ht="15.75" thickBot="1" x14ac:dyDescent="0.3"/>
    <row r="2" spans="2:29" ht="30.75" thickBot="1" x14ac:dyDescent="0.45">
      <c r="B2" s="31" t="s">
        <v>16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3"/>
    </row>
    <row r="4" spans="2:29" x14ac:dyDescent="0.25">
      <c r="B4" s="7" t="s">
        <v>71</v>
      </c>
      <c r="C4" s="7" t="s">
        <v>72</v>
      </c>
      <c r="D4" s="7" t="s">
        <v>73</v>
      </c>
      <c r="E4" s="7" t="s">
        <v>74</v>
      </c>
      <c r="F4" s="7" t="s">
        <v>75</v>
      </c>
      <c r="G4" s="7" t="s">
        <v>0</v>
      </c>
      <c r="H4" s="7" t="s">
        <v>76</v>
      </c>
      <c r="I4" s="7" t="s">
        <v>2</v>
      </c>
      <c r="J4" s="7" t="s">
        <v>3</v>
      </c>
      <c r="K4" s="7" t="s">
        <v>4</v>
      </c>
      <c r="L4" s="7" t="s">
        <v>77</v>
      </c>
      <c r="M4" s="7" t="s">
        <v>78</v>
      </c>
      <c r="N4" s="7" t="s">
        <v>140</v>
      </c>
      <c r="O4" s="7" t="s">
        <v>141</v>
      </c>
      <c r="P4" s="7" t="s">
        <v>128</v>
      </c>
      <c r="Q4" s="7" t="s">
        <v>79</v>
      </c>
      <c r="R4" s="7" t="s">
        <v>193</v>
      </c>
      <c r="S4" s="7" t="s">
        <v>80</v>
      </c>
      <c r="T4" s="7" t="s">
        <v>81</v>
      </c>
      <c r="U4" s="7" t="s">
        <v>194</v>
      </c>
      <c r="V4" s="19" t="s">
        <v>138</v>
      </c>
      <c r="W4" s="19" t="s">
        <v>139</v>
      </c>
      <c r="X4" s="7" t="s">
        <v>82</v>
      </c>
      <c r="Y4" s="7" t="s">
        <v>83</v>
      </c>
      <c r="Z4" s="7" t="s">
        <v>84</v>
      </c>
      <c r="AA4" s="7" t="s">
        <v>85</v>
      </c>
      <c r="AB4" s="7" t="s">
        <v>86</v>
      </c>
      <c r="AC4" s="7" t="s">
        <v>87</v>
      </c>
    </row>
    <row r="5" spans="2:29" x14ac:dyDescent="0.25">
      <c r="B5" s="8">
        <v>1</v>
      </c>
      <c r="C5" s="8" t="s">
        <v>91</v>
      </c>
      <c r="D5" s="9">
        <v>46023</v>
      </c>
      <c r="E5" s="9">
        <v>46029</v>
      </c>
      <c r="F5" s="8">
        <v>7</v>
      </c>
      <c r="G5" s="10" t="s">
        <v>6</v>
      </c>
      <c r="H5" s="10" t="s">
        <v>18</v>
      </c>
      <c r="I5" s="10" t="s">
        <v>88</v>
      </c>
      <c r="J5" s="10" t="s">
        <v>89</v>
      </c>
      <c r="K5" s="10" t="s">
        <v>90</v>
      </c>
      <c r="L5" s="10" t="s">
        <v>198</v>
      </c>
      <c r="M5" s="10" t="s">
        <v>143</v>
      </c>
      <c r="N5" s="10">
        <v>1</v>
      </c>
      <c r="O5" s="10">
        <v>1</v>
      </c>
      <c r="P5" s="10">
        <v>12</v>
      </c>
      <c r="Q5" s="10">
        <f>P5</f>
        <v>12</v>
      </c>
      <c r="R5" s="10">
        <v>10</v>
      </c>
      <c r="S5" s="20">
        <f>IF(Q5&lt;=R5,1,R5/Q5)</f>
        <v>0.83333333333333337</v>
      </c>
      <c r="T5" s="20">
        <f>N5/O5/V5</f>
        <v>8.3333333333333329E-2</v>
      </c>
      <c r="U5" s="20">
        <v>0.9</v>
      </c>
      <c r="V5" s="20">
        <v>12</v>
      </c>
      <c r="W5" s="20">
        <v>10</v>
      </c>
      <c r="X5" s="22">
        <f>W5/V5</f>
        <v>0.83333333333333337</v>
      </c>
      <c r="Y5" s="22">
        <f>IF(Q5&lt;=R5,1,0)</f>
        <v>0</v>
      </c>
      <c r="Z5" s="22">
        <f>X5*Y5</f>
        <v>0</v>
      </c>
      <c r="AA5" s="22">
        <f>IF(T5=0,1,IF(T5&lt;=U5,1,U5/T5))</f>
        <v>1</v>
      </c>
      <c r="AB5" s="10" t="s">
        <v>191</v>
      </c>
      <c r="AC5" s="10" t="s">
        <v>142</v>
      </c>
    </row>
    <row r="6" spans="2:29" x14ac:dyDescent="0.25">
      <c r="B6" s="10">
        <v>2</v>
      </c>
      <c r="C6" s="10" t="s">
        <v>92</v>
      </c>
      <c r="D6" s="11">
        <v>46030</v>
      </c>
      <c r="E6" s="11">
        <v>46036</v>
      </c>
      <c r="F6" s="10">
        <v>7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>
        <v>10</v>
      </c>
      <c r="S6" s="10"/>
      <c r="T6" s="10"/>
      <c r="U6" s="20">
        <v>0.9</v>
      </c>
      <c r="V6" s="10"/>
      <c r="W6" s="10"/>
      <c r="X6" s="10"/>
      <c r="Y6" s="10"/>
      <c r="Z6" s="10"/>
      <c r="AA6" s="10"/>
      <c r="AB6" s="10"/>
      <c r="AC6" s="10"/>
    </row>
    <row r="7" spans="2:29" x14ac:dyDescent="0.25">
      <c r="B7" s="10">
        <v>3</v>
      </c>
      <c r="C7" s="10" t="s">
        <v>92</v>
      </c>
      <c r="D7" s="11">
        <v>46037</v>
      </c>
      <c r="E7" s="11">
        <v>46043</v>
      </c>
      <c r="F7" s="10">
        <v>7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>
        <v>10</v>
      </c>
      <c r="S7" s="10"/>
      <c r="T7" s="10"/>
      <c r="U7" s="20">
        <v>0.9</v>
      </c>
      <c r="V7" s="10"/>
      <c r="W7" s="10"/>
      <c r="X7" s="10"/>
      <c r="Y7" s="10"/>
      <c r="Z7" s="10"/>
      <c r="AA7" s="10"/>
      <c r="AB7" s="10"/>
      <c r="AC7" s="10"/>
    </row>
    <row r="8" spans="2:29" x14ac:dyDescent="0.25">
      <c r="B8" s="10">
        <v>4</v>
      </c>
      <c r="C8" s="10" t="s">
        <v>92</v>
      </c>
      <c r="D8" s="11">
        <v>46044</v>
      </c>
      <c r="E8" s="11">
        <v>46050</v>
      </c>
      <c r="F8" s="10">
        <v>7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>
        <v>10</v>
      </c>
      <c r="S8" s="10"/>
      <c r="T8" s="10"/>
      <c r="U8" s="20">
        <v>0.9</v>
      </c>
      <c r="V8" s="10"/>
      <c r="W8" s="10"/>
      <c r="X8" s="10"/>
      <c r="Y8" s="10"/>
      <c r="Z8" s="10"/>
      <c r="AA8" s="10"/>
      <c r="AB8" s="10"/>
      <c r="AC8" s="10"/>
    </row>
    <row r="9" spans="2:29" x14ac:dyDescent="0.25">
      <c r="B9" s="10">
        <v>5</v>
      </c>
      <c r="C9" s="10" t="s">
        <v>92</v>
      </c>
      <c r="D9" s="11">
        <v>46051</v>
      </c>
      <c r="E9" s="11">
        <v>46057</v>
      </c>
      <c r="F9" s="10">
        <v>7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>
        <v>10</v>
      </c>
      <c r="S9" s="10"/>
      <c r="T9" s="10"/>
      <c r="U9" s="20">
        <v>0.9</v>
      </c>
      <c r="V9" s="10"/>
      <c r="W9" s="10"/>
      <c r="X9" s="10"/>
      <c r="Y9" s="10"/>
      <c r="Z9" s="10"/>
      <c r="AA9" s="10"/>
      <c r="AB9" s="10"/>
      <c r="AC9" s="10"/>
    </row>
    <row r="10" spans="2:29" x14ac:dyDescent="0.25">
      <c r="B10" s="10">
        <v>6</v>
      </c>
      <c r="C10" s="10" t="s">
        <v>92</v>
      </c>
      <c r="D10" s="11">
        <v>46058</v>
      </c>
      <c r="E10" s="11">
        <v>46064</v>
      </c>
      <c r="F10" s="10">
        <v>7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>
        <v>10</v>
      </c>
      <c r="S10" s="10"/>
      <c r="T10" s="10"/>
      <c r="U10" s="20">
        <v>0.9</v>
      </c>
      <c r="V10" s="10"/>
      <c r="W10" s="10"/>
      <c r="X10" s="10"/>
      <c r="Y10" s="10"/>
      <c r="Z10" s="10"/>
      <c r="AA10" s="10"/>
      <c r="AB10" s="10"/>
      <c r="AC10" s="10"/>
    </row>
    <row r="11" spans="2:29" x14ac:dyDescent="0.25">
      <c r="B11" s="10">
        <v>7</v>
      </c>
      <c r="C11" s="10" t="s">
        <v>92</v>
      </c>
      <c r="D11" s="11">
        <v>46065</v>
      </c>
      <c r="E11" s="11">
        <v>46071</v>
      </c>
      <c r="F11" s="10">
        <v>7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>
        <v>10</v>
      </c>
      <c r="S11" s="10"/>
      <c r="T11" s="10"/>
      <c r="U11" s="20">
        <v>0.9</v>
      </c>
      <c r="V11" s="10"/>
      <c r="W11" s="10"/>
      <c r="X11" s="10"/>
      <c r="Y11" s="10"/>
      <c r="Z11" s="10"/>
      <c r="AA11" s="10"/>
      <c r="AB11" s="10"/>
      <c r="AC11" s="10"/>
    </row>
    <row r="12" spans="2:29" x14ac:dyDescent="0.25">
      <c r="B12" s="10">
        <v>8</v>
      </c>
      <c r="C12" s="10" t="s">
        <v>92</v>
      </c>
      <c r="D12" s="11">
        <v>46072</v>
      </c>
      <c r="E12" s="11">
        <v>46078</v>
      </c>
      <c r="F12" s="10">
        <v>7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>
        <v>10</v>
      </c>
      <c r="S12" s="10"/>
      <c r="T12" s="10"/>
      <c r="U12" s="20">
        <v>0.9</v>
      </c>
      <c r="V12" s="10"/>
      <c r="W12" s="10"/>
      <c r="X12" s="10"/>
      <c r="Y12" s="10"/>
      <c r="Z12" s="10"/>
      <c r="AA12" s="10"/>
      <c r="AB12" s="10"/>
      <c r="AC12" s="10"/>
    </row>
    <row r="13" spans="2:29" x14ac:dyDescent="0.25">
      <c r="B13" s="10">
        <v>9</v>
      </c>
      <c r="C13" s="10" t="s">
        <v>92</v>
      </c>
      <c r="D13" s="11">
        <v>46079</v>
      </c>
      <c r="E13" s="11">
        <v>46085</v>
      </c>
      <c r="F13" s="10">
        <v>7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>
        <v>10</v>
      </c>
      <c r="S13" s="10"/>
      <c r="T13" s="10"/>
      <c r="U13" s="20">
        <v>0.9</v>
      </c>
      <c r="V13" s="10"/>
      <c r="W13" s="10"/>
      <c r="X13" s="10"/>
      <c r="Y13" s="10"/>
      <c r="Z13" s="10"/>
      <c r="AA13" s="10"/>
      <c r="AB13" s="10"/>
      <c r="AC13" s="10"/>
    </row>
    <row r="14" spans="2:29" x14ac:dyDescent="0.25">
      <c r="B14" s="10">
        <v>10</v>
      </c>
      <c r="C14" s="10" t="s">
        <v>92</v>
      </c>
      <c r="D14" s="11">
        <v>46086</v>
      </c>
      <c r="E14" s="11">
        <v>46092</v>
      </c>
      <c r="F14" s="10">
        <v>7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>
        <v>10</v>
      </c>
      <c r="S14" s="10"/>
      <c r="T14" s="10"/>
      <c r="U14" s="20">
        <v>0.9</v>
      </c>
      <c r="V14" s="10"/>
      <c r="W14" s="10"/>
      <c r="X14" s="10"/>
      <c r="Y14" s="10"/>
      <c r="Z14" s="10"/>
      <c r="AA14" s="10"/>
      <c r="AB14" s="10"/>
      <c r="AC14" s="10"/>
    </row>
    <row r="15" spans="2:29" x14ac:dyDescent="0.25">
      <c r="B15" s="10">
        <v>11</v>
      </c>
      <c r="C15" s="10" t="s">
        <v>92</v>
      </c>
      <c r="D15" s="11">
        <v>46093</v>
      </c>
      <c r="E15" s="11">
        <v>46099</v>
      </c>
      <c r="F15" s="10">
        <v>7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>
        <v>10</v>
      </c>
      <c r="S15" s="10"/>
      <c r="T15" s="10"/>
      <c r="U15" s="20">
        <v>0.9</v>
      </c>
      <c r="V15" s="10"/>
      <c r="W15" s="10"/>
      <c r="X15" s="10"/>
      <c r="Y15" s="10"/>
      <c r="Z15" s="10"/>
      <c r="AA15" s="10"/>
      <c r="AB15" s="10"/>
      <c r="AC15" s="10"/>
    </row>
    <row r="16" spans="2:29" x14ac:dyDescent="0.25">
      <c r="B16" s="10">
        <v>12</v>
      </c>
      <c r="C16" s="10" t="s">
        <v>92</v>
      </c>
      <c r="D16" s="11">
        <v>46100</v>
      </c>
      <c r="E16" s="11">
        <v>46106</v>
      </c>
      <c r="F16" s="10">
        <v>7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>
        <v>10</v>
      </c>
      <c r="S16" s="10"/>
      <c r="T16" s="10"/>
      <c r="U16" s="20">
        <v>0.9</v>
      </c>
      <c r="V16" s="10"/>
      <c r="W16" s="10"/>
      <c r="X16" s="10"/>
      <c r="Y16" s="10"/>
      <c r="Z16" s="10"/>
      <c r="AA16" s="10"/>
      <c r="AB16" s="10"/>
      <c r="AC16" s="10"/>
    </row>
    <row r="17" spans="2:29" ht="15.75" thickBot="1" x14ac:dyDescent="0.3">
      <c r="B17" s="12">
        <v>13</v>
      </c>
      <c r="C17" s="12" t="s">
        <v>93</v>
      </c>
      <c r="D17" s="13">
        <v>46107</v>
      </c>
      <c r="E17" s="13">
        <v>46109</v>
      </c>
      <c r="F17" s="12">
        <v>3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>
        <v>10</v>
      </c>
      <c r="S17" s="12"/>
      <c r="T17" s="12"/>
      <c r="U17" s="21">
        <v>0.9</v>
      </c>
      <c r="V17" s="12"/>
      <c r="W17" s="12"/>
      <c r="X17" s="12"/>
      <c r="Y17" s="12"/>
      <c r="Z17" s="12"/>
      <c r="AA17" s="12"/>
      <c r="AB17" s="12"/>
      <c r="AC17" s="12"/>
    </row>
    <row r="18" spans="2:29" x14ac:dyDescent="0.25">
      <c r="B18" s="14">
        <v>1</v>
      </c>
      <c r="C18" s="14" t="s">
        <v>94</v>
      </c>
      <c r="D18" s="15">
        <v>46110</v>
      </c>
      <c r="E18" s="15">
        <v>46116</v>
      </c>
      <c r="F18" s="14">
        <v>7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spans="2:29" x14ac:dyDescent="0.25">
      <c r="B19" s="10">
        <v>2</v>
      </c>
      <c r="C19" s="10" t="s">
        <v>95</v>
      </c>
      <c r="D19" s="11">
        <v>46117</v>
      </c>
      <c r="E19" s="11">
        <v>46123</v>
      </c>
      <c r="F19" s="10">
        <v>7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spans="2:29" x14ac:dyDescent="0.25">
      <c r="B20" s="10">
        <v>3</v>
      </c>
      <c r="C20" s="10" t="s">
        <v>95</v>
      </c>
      <c r="D20" s="11">
        <v>46124</v>
      </c>
      <c r="E20" s="11">
        <v>46130</v>
      </c>
      <c r="F20" s="10">
        <v>7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 spans="2:29" x14ac:dyDescent="0.25">
      <c r="B21" s="10">
        <v>4</v>
      </c>
      <c r="C21" s="10" t="s">
        <v>95</v>
      </c>
      <c r="D21" s="11">
        <v>46131</v>
      </c>
      <c r="E21" s="11">
        <v>46137</v>
      </c>
      <c r="F21" s="10">
        <v>7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 spans="2:29" x14ac:dyDescent="0.25">
      <c r="B22" s="10">
        <v>5</v>
      </c>
      <c r="C22" s="10" t="s">
        <v>95</v>
      </c>
      <c r="D22" s="11">
        <v>46138</v>
      </c>
      <c r="E22" s="11">
        <v>46144</v>
      </c>
      <c r="F22" s="10">
        <v>7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 spans="2:29" x14ac:dyDescent="0.25">
      <c r="B23" s="10">
        <v>6</v>
      </c>
      <c r="C23" s="10" t="s">
        <v>95</v>
      </c>
      <c r="D23" s="11">
        <v>46145</v>
      </c>
      <c r="E23" s="11">
        <v>46151</v>
      </c>
      <c r="F23" s="10">
        <v>7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 spans="2:29" x14ac:dyDescent="0.25">
      <c r="B24" s="10">
        <v>7</v>
      </c>
      <c r="C24" s="10" t="s">
        <v>95</v>
      </c>
      <c r="D24" s="11">
        <v>46152</v>
      </c>
      <c r="E24" s="11">
        <v>46158</v>
      </c>
      <c r="F24" s="10">
        <v>7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 spans="2:29" x14ac:dyDescent="0.25">
      <c r="B25" s="10">
        <v>8</v>
      </c>
      <c r="C25" s="10" t="s">
        <v>95</v>
      </c>
      <c r="D25" s="11">
        <v>46159</v>
      </c>
      <c r="E25" s="11">
        <v>46165</v>
      </c>
      <c r="F25" s="10">
        <v>7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 spans="2:29" x14ac:dyDescent="0.25">
      <c r="B26" s="10">
        <v>9</v>
      </c>
      <c r="C26" s="10" t="s">
        <v>95</v>
      </c>
      <c r="D26" s="11">
        <v>46166</v>
      </c>
      <c r="E26" s="11">
        <v>46172</v>
      </c>
      <c r="F26" s="10">
        <v>7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 spans="2:29" x14ac:dyDescent="0.25">
      <c r="B27" s="10">
        <v>10</v>
      </c>
      <c r="C27" s="10" t="s">
        <v>95</v>
      </c>
      <c r="D27" s="11">
        <v>46173</v>
      </c>
      <c r="E27" s="11">
        <v>46179</v>
      </c>
      <c r="F27" s="10">
        <v>7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 spans="2:29" x14ac:dyDescent="0.25">
      <c r="B28" s="10">
        <v>11</v>
      </c>
      <c r="C28" s="10" t="s">
        <v>95</v>
      </c>
      <c r="D28" s="11">
        <v>46180</v>
      </c>
      <c r="E28" s="11">
        <v>46186</v>
      </c>
      <c r="F28" s="10">
        <v>7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 spans="2:29" x14ac:dyDescent="0.25">
      <c r="B29" s="10">
        <v>12</v>
      </c>
      <c r="C29" s="10" t="s">
        <v>95</v>
      </c>
      <c r="D29" s="11">
        <v>46187</v>
      </c>
      <c r="E29" s="11">
        <v>46193</v>
      </c>
      <c r="F29" s="10">
        <v>7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 spans="2:29" ht="15.75" thickBot="1" x14ac:dyDescent="0.3">
      <c r="B30" s="12">
        <v>13</v>
      </c>
      <c r="C30" s="12" t="s">
        <v>96</v>
      </c>
      <c r="D30" s="13">
        <v>46194</v>
      </c>
      <c r="E30" s="13">
        <v>46201</v>
      </c>
      <c r="F30" s="12">
        <v>8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 spans="2:29" x14ac:dyDescent="0.25">
      <c r="B31" s="14">
        <v>1</v>
      </c>
      <c r="C31" s="14" t="s">
        <v>97</v>
      </c>
      <c r="D31" s="15">
        <v>46202</v>
      </c>
      <c r="E31" s="15">
        <v>46208</v>
      </c>
      <c r="F31" s="14">
        <v>7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spans="2:29" x14ac:dyDescent="0.25">
      <c r="B32" s="10">
        <v>2</v>
      </c>
      <c r="C32" s="10" t="s">
        <v>98</v>
      </c>
      <c r="D32" s="11">
        <v>46209</v>
      </c>
      <c r="E32" s="11">
        <v>46215</v>
      </c>
      <c r="F32" s="10">
        <v>7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 spans="2:29" x14ac:dyDescent="0.25">
      <c r="B33" s="10">
        <v>3</v>
      </c>
      <c r="C33" s="10" t="s">
        <v>98</v>
      </c>
      <c r="D33" s="11">
        <v>46216</v>
      </c>
      <c r="E33" s="11">
        <v>46222</v>
      </c>
      <c r="F33" s="10">
        <v>7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 spans="2:29" x14ac:dyDescent="0.25">
      <c r="B34" s="10">
        <v>4</v>
      </c>
      <c r="C34" s="10" t="s">
        <v>98</v>
      </c>
      <c r="D34" s="11">
        <v>46223</v>
      </c>
      <c r="E34" s="11">
        <v>46229</v>
      </c>
      <c r="F34" s="10">
        <v>7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 spans="2:29" x14ac:dyDescent="0.25">
      <c r="B35" s="10">
        <v>5</v>
      </c>
      <c r="C35" s="10" t="s">
        <v>98</v>
      </c>
      <c r="D35" s="11">
        <v>46230</v>
      </c>
      <c r="E35" s="11">
        <v>46236</v>
      </c>
      <c r="F35" s="10">
        <v>7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 spans="2:29" x14ac:dyDescent="0.25">
      <c r="B36" s="10">
        <v>6</v>
      </c>
      <c r="C36" s="10" t="s">
        <v>98</v>
      </c>
      <c r="D36" s="11">
        <v>46237</v>
      </c>
      <c r="E36" s="11">
        <v>46243</v>
      </c>
      <c r="F36" s="10">
        <v>7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 spans="2:29" x14ac:dyDescent="0.25">
      <c r="B37" s="10">
        <v>7</v>
      </c>
      <c r="C37" s="10" t="s">
        <v>98</v>
      </c>
      <c r="D37" s="11">
        <v>46244</v>
      </c>
      <c r="E37" s="11">
        <v>46250</v>
      </c>
      <c r="F37" s="10">
        <v>7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 spans="2:29" x14ac:dyDescent="0.25">
      <c r="B38" s="10">
        <v>8</v>
      </c>
      <c r="C38" s="10" t="s">
        <v>98</v>
      </c>
      <c r="D38" s="11">
        <v>46251</v>
      </c>
      <c r="E38" s="11">
        <v>46257</v>
      </c>
      <c r="F38" s="10">
        <v>7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spans="2:29" x14ac:dyDescent="0.25">
      <c r="B39" s="10">
        <v>9</v>
      </c>
      <c r="C39" s="10" t="s">
        <v>98</v>
      </c>
      <c r="D39" s="11">
        <v>46258</v>
      </c>
      <c r="E39" s="11">
        <v>46264</v>
      </c>
      <c r="F39" s="10">
        <v>7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 spans="2:29" x14ac:dyDescent="0.25">
      <c r="B40" s="10">
        <v>10</v>
      </c>
      <c r="C40" s="10" t="s">
        <v>98</v>
      </c>
      <c r="D40" s="11">
        <v>46265</v>
      </c>
      <c r="E40" s="11">
        <v>46271</v>
      </c>
      <c r="F40" s="10">
        <v>7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 spans="2:29" x14ac:dyDescent="0.25">
      <c r="B41" s="10">
        <v>11</v>
      </c>
      <c r="C41" s="10" t="s">
        <v>98</v>
      </c>
      <c r="D41" s="11">
        <v>46272</v>
      </c>
      <c r="E41" s="11">
        <v>46278</v>
      </c>
      <c r="F41" s="10">
        <v>7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 spans="2:29" x14ac:dyDescent="0.25">
      <c r="B42" s="10">
        <v>12</v>
      </c>
      <c r="C42" s="10" t="s">
        <v>98</v>
      </c>
      <c r="D42" s="11">
        <v>46279</v>
      </c>
      <c r="E42" s="11">
        <v>46285</v>
      </c>
      <c r="F42" s="10">
        <v>7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 spans="2:29" ht="15.75" thickBot="1" x14ac:dyDescent="0.3">
      <c r="B43" s="12">
        <v>13</v>
      </c>
      <c r="C43" s="12" t="s">
        <v>99</v>
      </c>
      <c r="D43" s="13">
        <v>46286</v>
      </c>
      <c r="E43" s="13">
        <v>46293</v>
      </c>
      <c r="F43" s="12">
        <v>8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 spans="2:29" x14ac:dyDescent="0.25">
      <c r="B44" s="8">
        <v>1</v>
      </c>
      <c r="C44" s="8" t="s">
        <v>100</v>
      </c>
      <c r="D44" s="9">
        <v>46294</v>
      </c>
      <c r="E44" s="9">
        <v>46300</v>
      </c>
      <c r="F44" s="8">
        <v>7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spans="2:29" x14ac:dyDescent="0.25">
      <c r="B45" s="8">
        <v>2</v>
      </c>
      <c r="C45" s="8" t="s">
        <v>101</v>
      </c>
      <c r="D45" s="9">
        <v>46301</v>
      </c>
      <c r="E45" s="9">
        <v>46307</v>
      </c>
      <c r="F45" s="8">
        <v>7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10"/>
      <c r="AC45" s="8"/>
    </row>
    <row r="46" spans="2:29" x14ac:dyDescent="0.25">
      <c r="B46" s="10">
        <v>3</v>
      </c>
      <c r="C46" s="10" t="s">
        <v>101</v>
      </c>
      <c r="D46" s="11">
        <v>46308</v>
      </c>
      <c r="E46" s="11">
        <v>46314</v>
      </c>
      <c r="F46" s="10">
        <v>7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 spans="2:29" x14ac:dyDescent="0.25">
      <c r="B47" s="10">
        <v>4</v>
      </c>
      <c r="C47" s="10" t="s">
        <v>101</v>
      </c>
      <c r="D47" s="11">
        <v>46315</v>
      </c>
      <c r="E47" s="11">
        <v>46321</v>
      </c>
      <c r="F47" s="10">
        <v>7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 spans="2:29" x14ac:dyDescent="0.25">
      <c r="B48" s="10">
        <v>5</v>
      </c>
      <c r="C48" s="10" t="s">
        <v>101</v>
      </c>
      <c r="D48" s="11">
        <v>46322</v>
      </c>
      <c r="E48" s="11">
        <v>46328</v>
      </c>
      <c r="F48" s="10">
        <v>7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 spans="2:29" x14ac:dyDescent="0.25">
      <c r="B49" s="10">
        <v>6</v>
      </c>
      <c r="C49" s="10" t="s">
        <v>101</v>
      </c>
      <c r="D49" s="11">
        <v>46329</v>
      </c>
      <c r="E49" s="11">
        <v>46335</v>
      </c>
      <c r="F49" s="10">
        <v>7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 spans="2:29" x14ac:dyDescent="0.25">
      <c r="B50" s="10">
        <v>7</v>
      </c>
      <c r="C50" s="10" t="s">
        <v>101</v>
      </c>
      <c r="D50" s="11">
        <v>46336</v>
      </c>
      <c r="E50" s="11">
        <v>46342</v>
      </c>
      <c r="F50" s="10">
        <v>7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 spans="2:29" x14ac:dyDescent="0.25">
      <c r="B51" s="10">
        <v>8</v>
      </c>
      <c r="C51" s="10" t="s">
        <v>101</v>
      </c>
      <c r="D51" s="11">
        <v>46343</v>
      </c>
      <c r="E51" s="11">
        <v>46349</v>
      </c>
      <c r="F51" s="10">
        <v>7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 spans="2:29" x14ac:dyDescent="0.25">
      <c r="B52" s="10">
        <v>9</v>
      </c>
      <c r="C52" s="10" t="s">
        <v>101</v>
      </c>
      <c r="D52" s="11">
        <v>46350</v>
      </c>
      <c r="E52" s="11">
        <v>46356</v>
      </c>
      <c r="F52" s="10">
        <v>7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 spans="2:29" x14ac:dyDescent="0.25">
      <c r="B53" s="10">
        <v>10</v>
      </c>
      <c r="C53" s="10" t="s">
        <v>101</v>
      </c>
      <c r="D53" s="11">
        <v>46357</v>
      </c>
      <c r="E53" s="11">
        <v>46363</v>
      </c>
      <c r="F53" s="10">
        <v>7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 spans="2:29" x14ac:dyDescent="0.25">
      <c r="B54" s="10">
        <v>11</v>
      </c>
      <c r="C54" s="10" t="s">
        <v>101</v>
      </c>
      <c r="D54" s="11">
        <v>46364</v>
      </c>
      <c r="E54" s="11">
        <v>46370</v>
      </c>
      <c r="F54" s="10">
        <v>7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 spans="2:29" x14ac:dyDescent="0.25">
      <c r="B55" s="10">
        <v>12</v>
      </c>
      <c r="C55" s="10" t="s">
        <v>101</v>
      </c>
      <c r="D55" s="11">
        <v>46371</v>
      </c>
      <c r="E55" s="11">
        <v>46377</v>
      </c>
      <c r="F55" s="10">
        <v>7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 spans="2:29" ht="15.75" thickBot="1" x14ac:dyDescent="0.3">
      <c r="B56" s="12">
        <v>13</v>
      </c>
      <c r="C56" s="12" t="s">
        <v>102</v>
      </c>
      <c r="D56" s="13">
        <v>46378</v>
      </c>
      <c r="E56" s="13">
        <v>46387</v>
      </c>
      <c r="F56" s="12">
        <v>10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 spans="2:29" x14ac:dyDescent="0.25"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</row>
  </sheetData>
  <mergeCells count="1">
    <mergeCell ref="B2:AC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865E803-EE6A-4CEA-8DD3-3BB08F942A2F}">
          <x14:formula1>
            <xm:f>'Datos de la hoja'!$B$2:$B$4</xm:f>
          </x14:formula1>
          <xm:sqref>AB5:AB56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E81C9-F7B1-4A2C-954F-AAA3C8071FC5}">
  <dimension ref="B1:AA57"/>
  <sheetViews>
    <sheetView showGridLines="0" topLeftCell="K1" zoomScale="115" zoomScaleNormal="115" workbookViewId="0">
      <selection activeCell="L5" sqref="L5"/>
    </sheetView>
  </sheetViews>
  <sheetFormatPr baseColWidth="10" defaultRowHeight="15" x14ac:dyDescent="0.25"/>
  <cols>
    <col min="1" max="1" width="10.28515625" customWidth="1"/>
    <col min="2" max="2" width="9.28515625" bestFit="1" customWidth="1"/>
    <col min="3" max="3" width="18.140625" bestFit="1" customWidth="1"/>
    <col min="4" max="4" width="12.85546875" bestFit="1" customWidth="1"/>
    <col min="5" max="5" width="12.42578125" bestFit="1" customWidth="1"/>
    <col min="6" max="6" width="15.85546875" bestFit="1" customWidth="1"/>
    <col min="7" max="7" width="20.140625" bestFit="1" customWidth="1"/>
    <col min="8" max="8" width="25" bestFit="1" customWidth="1"/>
    <col min="9" max="9" width="51.7109375" bestFit="1" customWidth="1"/>
    <col min="10" max="10" width="27.7109375" bestFit="1" customWidth="1"/>
    <col min="11" max="11" width="28.85546875" bestFit="1" customWidth="1"/>
    <col min="12" max="12" width="13.85546875" bestFit="1" customWidth="1"/>
    <col min="13" max="13" width="170" bestFit="1" customWidth="1"/>
    <col min="14" max="14" width="33.42578125" bestFit="1" customWidth="1"/>
    <col min="15" max="15" width="14.5703125" bestFit="1" customWidth="1"/>
    <col min="16" max="16" width="10" bestFit="1" customWidth="1"/>
    <col min="17" max="17" width="17.42578125" bestFit="1" customWidth="1"/>
    <col min="18" max="18" width="14.42578125" bestFit="1" customWidth="1"/>
    <col min="19" max="19" width="17.42578125" bestFit="1" customWidth="1"/>
    <col min="20" max="20" width="12.140625" bestFit="1" customWidth="1"/>
    <col min="21" max="21" width="18" bestFit="1" customWidth="1"/>
    <col min="22" max="22" width="14" bestFit="1" customWidth="1"/>
    <col min="23" max="23" width="12.42578125" bestFit="1" customWidth="1"/>
    <col min="24" max="24" width="15.28515625" bestFit="1" customWidth="1"/>
    <col min="25" max="25" width="16.7109375" bestFit="1" customWidth="1"/>
    <col min="26" max="26" width="20.140625" bestFit="1" customWidth="1"/>
    <col min="27" max="27" width="169.7109375" bestFit="1" customWidth="1"/>
  </cols>
  <sheetData>
    <row r="1" spans="2:27" ht="15.75" thickBot="1" x14ac:dyDescent="0.3"/>
    <row r="2" spans="2:27" ht="30.75" thickBot="1" x14ac:dyDescent="0.45">
      <c r="B2" s="31" t="s">
        <v>16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3"/>
    </row>
    <row r="4" spans="2:27" x14ac:dyDescent="0.25">
      <c r="B4" s="7" t="s">
        <v>71</v>
      </c>
      <c r="C4" s="7" t="s">
        <v>72</v>
      </c>
      <c r="D4" s="7" t="s">
        <v>73</v>
      </c>
      <c r="E4" s="7" t="s">
        <v>74</v>
      </c>
      <c r="F4" s="7" t="s">
        <v>75</v>
      </c>
      <c r="G4" s="7" t="s">
        <v>0</v>
      </c>
      <c r="H4" s="7" t="s">
        <v>76</v>
      </c>
      <c r="I4" s="7" t="s">
        <v>2</v>
      </c>
      <c r="J4" s="7" t="s">
        <v>3</v>
      </c>
      <c r="K4" s="7" t="s">
        <v>4</v>
      </c>
      <c r="L4" s="7" t="s">
        <v>77</v>
      </c>
      <c r="M4" s="7" t="s">
        <v>78</v>
      </c>
      <c r="N4" s="7" t="s">
        <v>129</v>
      </c>
      <c r="O4" s="7" t="s">
        <v>79</v>
      </c>
      <c r="P4" s="7" t="s">
        <v>195</v>
      </c>
      <c r="Q4" s="7" t="s">
        <v>80</v>
      </c>
      <c r="R4" s="7" t="s">
        <v>81</v>
      </c>
      <c r="S4" s="7" t="s">
        <v>196</v>
      </c>
      <c r="T4" s="19" t="s">
        <v>138</v>
      </c>
      <c r="U4" s="19" t="s">
        <v>139</v>
      </c>
      <c r="V4" s="7" t="s">
        <v>82</v>
      </c>
      <c r="W4" s="7" t="s">
        <v>83</v>
      </c>
      <c r="X4" s="7" t="s">
        <v>84</v>
      </c>
      <c r="Y4" s="7" t="s">
        <v>85</v>
      </c>
      <c r="Z4" s="7" t="s">
        <v>86</v>
      </c>
      <c r="AA4" s="7" t="s">
        <v>87</v>
      </c>
    </row>
    <row r="5" spans="2:27" x14ac:dyDescent="0.25">
      <c r="B5" s="8">
        <v>1</v>
      </c>
      <c r="C5" s="8" t="s">
        <v>91</v>
      </c>
      <c r="D5" s="9">
        <v>46023</v>
      </c>
      <c r="E5" s="9">
        <v>46029</v>
      </c>
      <c r="F5" s="8">
        <v>7</v>
      </c>
      <c r="G5" s="10" t="s">
        <v>7</v>
      </c>
      <c r="H5" s="10" t="s">
        <v>20</v>
      </c>
      <c r="I5" s="10" t="s">
        <v>144</v>
      </c>
      <c r="J5" s="10" t="s">
        <v>103</v>
      </c>
      <c r="K5" s="10" t="s">
        <v>104</v>
      </c>
      <c r="L5" s="10" t="s">
        <v>198</v>
      </c>
      <c r="M5" s="10" t="s">
        <v>146</v>
      </c>
      <c r="N5" s="10">
        <v>85</v>
      </c>
      <c r="O5" s="10">
        <f>N5</f>
        <v>85</v>
      </c>
      <c r="P5" s="10">
        <v>90</v>
      </c>
      <c r="Q5" s="22">
        <f>O5/P5</f>
        <v>0.94444444444444442</v>
      </c>
      <c r="R5" s="10">
        <f>N5/T5</f>
        <v>17</v>
      </c>
      <c r="S5" s="10">
        <v>15</v>
      </c>
      <c r="T5" s="20">
        <v>5</v>
      </c>
      <c r="U5" s="20">
        <v>6</v>
      </c>
      <c r="V5" s="22">
        <f>U5/T5</f>
        <v>1.2</v>
      </c>
      <c r="W5" s="22">
        <f>IF(O5&gt;=P5,1,O5/P5)</f>
        <v>0.94444444444444442</v>
      </c>
      <c r="X5" s="22">
        <f>V5*W5</f>
        <v>1.1333333333333333</v>
      </c>
      <c r="Y5" s="22">
        <f>R5/S5</f>
        <v>1.1333333333333333</v>
      </c>
      <c r="Z5" s="10" t="s">
        <v>191</v>
      </c>
      <c r="AA5" s="10" t="s">
        <v>145</v>
      </c>
    </row>
    <row r="6" spans="2:27" x14ac:dyDescent="0.25">
      <c r="B6" s="10">
        <v>2</v>
      </c>
      <c r="C6" s="10" t="s">
        <v>92</v>
      </c>
      <c r="D6" s="11">
        <v>46030</v>
      </c>
      <c r="E6" s="11">
        <v>46036</v>
      </c>
      <c r="F6" s="10">
        <v>7</v>
      </c>
      <c r="G6" s="10"/>
      <c r="H6" s="10"/>
      <c r="I6" s="10"/>
      <c r="J6" s="10"/>
      <c r="K6" s="10"/>
      <c r="L6" s="10"/>
      <c r="M6" s="10"/>
      <c r="N6" s="10"/>
      <c r="O6" s="10"/>
      <c r="P6" s="10">
        <v>90</v>
      </c>
      <c r="Q6" s="10"/>
      <c r="R6" s="10"/>
      <c r="S6" s="10">
        <v>15</v>
      </c>
      <c r="T6" s="10"/>
      <c r="U6" s="10"/>
      <c r="V6" s="10"/>
      <c r="W6" s="10"/>
      <c r="X6" s="10"/>
      <c r="Y6" s="10"/>
      <c r="Z6" s="10"/>
      <c r="AA6" s="10"/>
    </row>
    <row r="7" spans="2:27" x14ac:dyDescent="0.25">
      <c r="B7" s="10">
        <v>3</v>
      </c>
      <c r="C7" s="10" t="s">
        <v>92</v>
      </c>
      <c r="D7" s="11">
        <v>46037</v>
      </c>
      <c r="E7" s="11">
        <v>46043</v>
      </c>
      <c r="F7" s="10">
        <v>7</v>
      </c>
      <c r="G7" s="10"/>
      <c r="H7" s="10"/>
      <c r="I7" s="10"/>
      <c r="J7" s="10"/>
      <c r="K7" s="10"/>
      <c r="L7" s="10"/>
      <c r="M7" s="10"/>
      <c r="N7" s="10"/>
      <c r="O7" s="10"/>
      <c r="P7" s="10">
        <v>90</v>
      </c>
      <c r="Q7" s="10"/>
      <c r="R7" s="10"/>
      <c r="S7" s="10">
        <v>15</v>
      </c>
      <c r="T7" s="10"/>
      <c r="U7" s="10"/>
      <c r="V7" s="10"/>
      <c r="W7" s="10"/>
      <c r="X7" s="10"/>
      <c r="Y7" s="10"/>
      <c r="Z7" s="10"/>
      <c r="AA7" s="10"/>
    </row>
    <row r="8" spans="2:27" x14ac:dyDescent="0.25">
      <c r="B8" s="10">
        <v>4</v>
      </c>
      <c r="C8" s="10" t="s">
        <v>92</v>
      </c>
      <c r="D8" s="11">
        <v>46044</v>
      </c>
      <c r="E8" s="11">
        <v>46050</v>
      </c>
      <c r="F8" s="10">
        <v>7</v>
      </c>
      <c r="G8" s="10"/>
      <c r="H8" s="10"/>
      <c r="I8" s="10"/>
      <c r="J8" s="10"/>
      <c r="K8" s="10"/>
      <c r="L8" s="10"/>
      <c r="M8" s="10"/>
      <c r="N8" s="10"/>
      <c r="O8" s="10"/>
      <c r="P8" s="10">
        <v>90</v>
      </c>
      <c r="Q8" s="10"/>
      <c r="R8" s="10"/>
      <c r="S8" s="10">
        <v>15</v>
      </c>
      <c r="T8" s="10"/>
      <c r="U8" s="10"/>
      <c r="V8" s="10"/>
      <c r="W8" s="10"/>
      <c r="X8" s="10"/>
      <c r="Y8" s="10"/>
      <c r="Z8" s="10"/>
      <c r="AA8" s="10"/>
    </row>
    <row r="9" spans="2:27" x14ac:dyDescent="0.25">
      <c r="B9" s="10">
        <v>5</v>
      </c>
      <c r="C9" s="10" t="s">
        <v>92</v>
      </c>
      <c r="D9" s="11">
        <v>46051</v>
      </c>
      <c r="E9" s="11">
        <v>46057</v>
      </c>
      <c r="F9" s="10">
        <v>7</v>
      </c>
      <c r="G9" s="10"/>
      <c r="H9" s="10"/>
      <c r="I9" s="10"/>
      <c r="J9" s="10"/>
      <c r="K9" s="10"/>
      <c r="L9" s="10"/>
      <c r="M9" s="10"/>
      <c r="N9" s="10"/>
      <c r="O9" s="10"/>
      <c r="P9" s="10">
        <v>90</v>
      </c>
      <c r="Q9" s="10"/>
      <c r="R9" s="10"/>
      <c r="S9" s="10">
        <v>15</v>
      </c>
      <c r="T9" s="10"/>
      <c r="U9" s="10"/>
      <c r="V9" s="10"/>
      <c r="W9" s="10"/>
      <c r="X9" s="10"/>
      <c r="Y9" s="10"/>
      <c r="Z9" s="10"/>
      <c r="AA9" s="10"/>
    </row>
    <row r="10" spans="2:27" x14ac:dyDescent="0.25">
      <c r="B10" s="10">
        <v>6</v>
      </c>
      <c r="C10" s="10" t="s">
        <v>92</v>
      </c>
      <c r="D10" s="11">
        <v>46058</v>
      </c>
      <c r="E10" s="11">
        <v>46064</v>
      </c>
      <c r="F10" s="10">
        <v>7</v>
      </c>
      <c r="G10" s="10"/>
      <c r="H10" s="10"/>
      <c r="I10" s="10"/>
      <c r="J10" s="10"/>
      <c r="K10" s="10"/>
      <c r="L10" s="10"/>
      <c r="M10" s="10"/>
      <c r="N10" s="10"/>
      <c r="O10" s="10"/>
      <c r="P10" s="10">
        <v>90</v>
      </c>
      <c r="Q10" s="10"/>
      <c r="R10" s="10"/>
      <c r="S10" s="10">
        <v>15</v>
      </c>
      <c r="T10" s="10"/>
      <c r="U10" s="10"/>
      <c r="V10" s="10"/>
      <c r="W10" s="10"/>
      <c r="X10" s="10"/>
      <c r="Y10" s="10"/>
      <c r="Z10" s="10"/>
      <c r="AA10" s="10"/>
    </row>
    <row r="11" spans="2:27" x14ac:dyDescent="0.25">
      <c r="B11" s="10">
        <v>7</v>
      </c>
      <c r="C11" s="10" t="s">
        <v>92</v>
      </c>
      <c r="D11" s="11">
        <v>46065</v>
      </c>
      <c r="E11" s="11">
        <v>46071</v>
      </c>
      <c r="F11" s="10">
        <v>7</v>
      </c>
      <c r="G11" s="10"/>
      <c r="H11" s="10"/>
      <c r="I11" s="10"/>
      <c r="J11" s="10"/>
      <c r="K11" s="10"/>
      <c r="L11" s="10"/>
      <c r="M11" s="10"/>
      <c r="N11" s="10"/>
      <c r="O11" s="10"/>
      <c r="P11" s="10">
        <v>90</v>
      </c>
      <c r="Q11" s="10"/>
      <c r="R11" s="10"/>
      <c r="S11" s="10">
        <v>15</v>
      </c>
      <c r="T11" s="10"/>
      <c r="U11" s="10"/>
      <c r="V11" s="10"/>
      <c r="W11" s="10"/>
      <c r="X11" s="10"/>
      <c r="Y11" s="10"/>
      <c r="Z11" s="10"/>
      <c r="AA11" s="10"/>
    </row>
    <row r="12" spans="2:27" x14ac:dyDescent="0.25">
      <c r="B12" s="10">
        <v>8</v>
      </c>
      <c r="C12" s="10" t="s">
        <v>92</v>
      </c>
      <c r="D12" s="11">
        <v>46072</v>
      </c>
      <c r="E12" s="11">
        <v>46078</v>
      </c>
      <c r="F12" s="10">
        <v>7</v>
      </c>
      <c r="G12" s="10"/>
      <c r="H12" s="10"/>
      <c r="I12" s="10"/>
      <c r="J12" s="10"/>
      <c r="K12" s="10"/>
      <c r="L12" s="10"/>
      <c r="M12" s="10"/>
      <c r="N12" s="10"/>
      <c r="O12" s="10"/>
      <c r="P12" s="10">
        <v>90</v>
      </c>
      <c r="Q12" s="10"/>
      <c r="R12" s="10"/>
      <c r="S12" s="10">
        <v>15</v>
      </c>
      <c r="T12" s="10"/>
      <c r="U12" s="10"/>
      <c r="V12" s="10"/>
      <c r="W12" s="10"/>
      <c r="X12" s="10"/>
      <c r="Y12" s="10"/>
      <c r="Z12" s="10"/>
      <c r="AA12" s="10"/>
    </row>
    <row r="13" spans="2:27" x14ac:dyDescent="0.25">
      <c r="B13" s="10">
        <v>9</v>
      </c>
      <c r="C13" s="10" t="s">
        <v>92</v>
      </c>
      <c r="D13" s="11">
        <v>46079</v>
      </c>
      <c r="E13" s="11">
        <v>46085</v>
      </c>
      <c r="F13" s="10">
        <v>7</v>
      </c>
      <c r="G13" s="10"/>
      <c r="H13" s="10"/>
      <c r="I13" s="10"/>
      <c r="J13" s="10"/>
      <c r="K13" s="10"/>
      <c r="L13" s="10"/>
      <c r="M13" s="10"/>
      <c r="N13" s="10"/>
      <c r="O13" s="10"/>
      <c r="P13" s="10">
        <v>90</v>
      </c>
      <c r="Q13" s="10"/>
      <c r="R13" s="10"/>
      <c r="S13" s="10">
        <v>15</v>
      </c>
      <c r="T13" s="10"/>
      <c r="U13" s="10"/>
      <c r="V13" s="10"/>
      <c r="W13" s="10"/>
      <c r="X13" s="10"/>
      <c r="Y13" s="10"/>
      <c r="Z13" s="10"/>
      <c r="AA13" s="10"/>
    </row>
    <row r="14" spans="2:27" x14ac:dyDescent="0.25">
      <c r="B14" s="10">
        <v>10</v>
      </c>
      <c r="C14" s="10" t="s">
        <v>92</v>
      </c>
      <c r="D14" s="11">
        <v>46086</v>
      </c>
      <c r="E14" s="11">
        <v>46092</v>
      </c>
      <c r="F14" s="10">
        <v>7</v>
      </c>
      <c r="G14" s="10"/>
      <c r="H14" s="10"/>
      <c r="I14" s="10"/>
      <c r="J14" s="10"/>
      <c r="K14" s="10"/>
      <c r="L14" s="10"/>
      <c r="M14" s="10"/>
      <c r="N14" s="10"/>
      <c r="O14" s="10"/>
      <c r="P14" s="10">
        <v>90</v>
      </c>
      <c r="Q14" s="10"/>
      <c r="R14" s="10"/>
      <c r="S14" s="10">
        <v>15</v>
      </c>
      <c r="T14" s="10"/>
      <c r="U14" s="10"/>
      <c r="V14" s="10"/>
      <c r="W14" s="10"/>
      <c r="X14" s="10"/>
      <c r="Y14" s="10"/>
      <c r="Z14" s="10"/>
      <c r="AA14" s="10"/>
    </row>
    <row r="15" spans="2:27" x14ac:dyDescent="0.25">
      <c r="B15" s="10">
        <v>11</v>
      </c>
      <c r="C15" s="10" t="s">
        <v>92</v>
      </c>
      <c r="D15" s="11">
        <v>46093</v>
      </c>
      <c r="E15" s="11">
        <v>46099</v>
      </c>
      <c r="F15" s="10">
        <v>7</v>
      </c>
      <c r="G15" s="10"/>
      <c r="H15" s="10"/>
      <c r="I15" s="10"/>
      <c r="J15" s="10"/>
      <c r="K15" s="10"/>
      <c r="L15" s="10"/>
      <c r="M15" s="10"/>
      <c r="N15" s="10"/>
      <c r="O15" s="10"/>
      <c r="P15" s="10">
        <v>90</v>
      </c>
      <c r="Q15" s="10"/>
      <c r="R15" s="10"/>
      <c r="S15" s="10">
        <v>15</v>
      </c>
      <c r="T15" s="10"/>
      <c r="U15" s="10"/>
      <c r="V15" s="10"/>
      <c r="W15" s="10"/>
      <c r="X15" s="10"/>
      <c r="Y15" s="10"/>
      <c r="Z15" s="10"/>
      <c r="AA15" s="10"/>
    </row>
    <row r="16" spans="2:27" x14ac:dyDescent="0.25">
      <c r="B16" s="10">
        <v>12</v>
      </c>
      <c r="C16" s="10" t="s">
        <v>92</v>
      </c>
      <c r="D16" s="11">
        <v>46100</v>
      </c>
      <c r="E16" s="11">
        <v>46106</v>
      </c>
      <c r="F16" s="10">
        <v>7</v>
      </c>
      <c r="G16" s="10"/>
      <c r="H16" s="10"/>
      <c r="I16" s="10"/>
      <c r="J16" s="10"/>
      <c r="K16" s="10"/>
      <c r="L16" s="10"/>
      <c r="M16" s="10"/>
      <c r="N16" s="10"/>
      <c r="O16" s="10"/>
      <c r="P16" s="10">
        <v>90</v>
      </c>
      <c r="Q16" s="10"/>
      <c r="R16" s="10"/>
      <c r="S16" s="10">
        <v>15</v>
      </c>
      <c r="T16" s="10"/>
      <c r="U16" s="10"/>
      <c r="V16" s="10"/>
      <c r="W16" s="10"/>
      <c r="X16" s="10"/>
      <c r="Y16" s="10"/>
      <c r="Z16" s="10"/>
      <c r="AA16" s="10"/>
    </row>
    <row r="17" spans="2:27" ht="15.75" thickBot="1" x14ac:dyDescent="0.3">
      <c r="B17" s="12">
        <v>13</v>
      </c>
      <c r="C17" s="12" t="s">
        <v>93</v>
      </c>
      <c r="D17" s="13">
        <v>46107</v>
      </c>
      <c r="E17" s="13">
        <v>46109</v>
      </c>
      <c r="F17" s="12">
        <v>3</v>
      </c>
      <c r="G17" s="12"/>
      <c r="H17" s="12"/>
      <c r="I17" s="12"/>
      <c r="J17" s="12"/>
      <c r="K17" s="12"/>
      <c r="L17" s="12"/>
      <c r="M17" s="12"/>
      <c r="N17" s="12"/>
      <c r="O17" s="12"/>
      <c r="P17" s="12">
        <v>90</v>
      </c>
      <c r="Q17" s="12"/>
      <c r="R17" s="12"/>
      <c r="S17" s="12">
        <v>15</v>
      </c>
      <c r="T17" s="12"/>
      <c r="U17" s="12"/>
      <c r="V17" s="12"/>
      <c r="W17" s="12"/>
      <c r="X17" s="12"/>
      <c r="Y17" s="12"/>
      <c r="Z17" s="12"/>
      <c r="AA17" s="12"/>
    </row>
    <row r="18" spans="2:27" x14ac:dyDescent="0.25">
      <c r="B18" s="14">
        <v>1</v>
      </c>
      <c r="C18" s="14" t="s">
        <v>94</v>
      </c>
      <c r="D18" s="15">
        <v>46110</v>
      </c>
      <c r="E18" s="15">
        <v>46116</v>
      </c>
      <c r="F18" s="14">
        <v>7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2:27" x14ac:dyDescent="0.25">
      <c r="B19" s="10">
        <v>2</v>
      </c>
      <c r="C19" s="10" t="s">
        <v>95</v>
      </c>
      <c r="D19" s="11">
        <v>46117</v>
      </c>
      <c r="E19" s="11">
        <v>46123</v>
      </c>
      <c r="F19" s="10">
        <v>7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2:27" x14ac:dyDescent="0.25">
      <c r="B20" s="10">
        <v>3</v>
      </c>
      <c r="C20" s="10" t="s">
        <v>95</v>
      </c>
      <c r="D20" s="11">
        <v>46124</v>
      </c>
      <c r="E20" s="11">
        <v>46130</v>
      </c>
      <c r="F20" s="10">
        <v>7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2:27" x14ac:dyDescent="0.25">
      <c r="B21" s="10">
        <v>4</v>
      </c>
      <c r="C21" s="10" t="s">
        <v>95</v>
      </c>
      <c r="D21" s="11">
        <v>46131</v>
      </c>
      <c r="E21" s="11">
        <v>46137</v>
      </c>
      <c r="F21" s="10">
        <v>7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2:27" x14ac:dyDescent="0.25">
      <c r="B22" s="10">
        <v>5</v>
      </c>
      <c r="C22" s="10" t="s">
        <v>95</v>
      </c>
      <c r="D22" s="11">
        <v>46138</v>
      </c>
      <c r="E22" s="11">
        <v>46144</v>
      </c>
      <c r="F22" s="10">
        <v>7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2:27" x14ac:dyDescent="0.25">
      <c r="B23" s="10">
        <v>6</v>
      </c>
      <c r="C23" s="10" t="s">
        <v>95</v>
      </c>
      <c r="D23" s="11">
        <v>46145</v>
      </c>
      <c r="E23" s="11">
        <v>46151</v>
      </c>
      <c r="F23" s="10">
        <v>7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2:27" x14ac:dyDescent="0.25">
      <c r="B24" s="10">
        <v>7</v>
      </c>
      <c r="C24" s="10" t="s">
        <v>95</v>
      </c>
      <c r="D24" s="11">
        <v>46152</v>
      </c>
      <c r="E24" s="11">
        <v>46158</v>
      </c>
      <c r="F24" s="10">
        <v>7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2:27" x14ac:dyDescent="0.25">
      <c r="B25" s="10">
        <v>8</v>
      </c>
      <c r="C25" s="10" t="s">
        <v>95</v>
      </c>
      <c r="D25" s="11">
        <v>46159</v>
      </c>
      <c r="E25" s="11">
        <v>46165</v>
      </c>
      <c r="F25" s="10">
        <v>7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2:27" x14ac:dyDescent="0.25">
      <c r="B26" s="10">
        <v>9</v>
      </c>
      <c r="C26" s="10" t="s">
        <v>95</v>
      </c>
      <c r="D26" s="11">
        <v>46166</v>
      </c>
      <c r="E26" s="11">
        <v>46172</v>
      </c>
      <c r="F26" s="10">
        <v>7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2:27" x14ac:dyDescent="0.25">
      <c r="B27" s="10">
        <v>10</v>
      </c>
      <c r="C27" s="10" t="s">
        <v>95</v>
      </c>
      <c r="D27" s="11">
        <v>46173</v>
      </c>
      <c r="E27" s="11">
        <v>46179</v>
      </c>
      <c r="F27" s="10">
        <v>7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2:27" x14ac:dyDescent="0.25">
      <c r="B28" s="10">
        <v>11</v>
      </c>
      <c r="C28" s="10" t="s">
        <v>95</v>
      </c>
      <c r="D28" s="11">
        <v>46180</v>
      </c>
      <c r="E28" s="11">
        <v>46186</v>
      </c>
      <c r="F28" s="10">
        <v>7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2:27" x14ac:dyDescent="0.25">
      <c r="B29" s="10">
        <v>12</v>
      </c>
      <c r="C29" s="10" t="s">
        <v>95</v>
      </c>
      <c r="D29" s="11">
        <v>46187</v>
      </c>
      <c r="E29" s="11">
        <v>46193</v>
      </c>
      <c r="F29" s="10">
        <v>7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2:27" ht="15.75" thickBot="1" x14ac:dyDescent="0.3">
      <c r="B30" s="12">
        <v>13</v>
      </c>
      <c r="C30" s="12" t="s">
        <v>96</v>
      </c>
      <c r="D30" s="13">
        <v>46194</v>
      </c>
      <c r="E30" s="13">
        <v>46201</v>
      </c>
      <c r="F30" s="12">
        <v>8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2:27" x14ac:dyDescent="0.25">
      <c r="B31" s="14">
        <v>1</v>
      </c>
      <c r="C31" s="14" t="s">
        <v>97</v>
      </c>
      <c r="D31" s="15">
        <v>46202</v>
      </c>
      <c r="E31" s="15">
        <v>46208</v>
      </c>
      <c r="F31" s="14">
        <v>7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2:27" x14ac:dyDescent="0.25">
      <c r="B32" s="10">
        <v>2</v>
      </c>
      <c r="C32" s="10" t="s">
        <v>98</v>
      </c>
      <c r="D32" s="11">
        <v>46209</v>
      </c>
      <c r="E32" s="11">
        <v>46215</v>
      </c>
      <c r="F32" s="10">
        <v>7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2:27" x14ac:dyDescent="0.25">
      <c r="B33" s="10">
        <v>3</v>
      </c>
      <c r="C33" s="10" t="s">
        <v>98</v>
      </c>
      <c r="D33" s="11">
        <v>46216</v>
      </c>
      <c r="E33" s="11">
        <v>46222</v>
      </c>
      <c r="F33" s="10">
        <v>7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2:27" x14ac:dyDescent="0.25">
      <c r="B34" s="10">
        <v>4</v>
      </c>
      <c r="C34" s="10" t="s">
        <v>98</v>
      </c>
      <c r="D34" s="11">
        <v>46223</v>
      </c>
      <c r="E34" s="11">
        <v>46229</v>
      </c>
      <c r="F34" s="10">
        <v>7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2:27" x14ac:dyDescent="0.25">
      <c r="B35" s="10">
        <v>5</v>
      </c>
      <c r="C35" s="10" t="s">
        <v>98</v>
      </c>
      <c r="D35" s="11">
        <v>46230</v>
      </c>
      <c r="E35" s="11">
        <v>46236</v>
      </c>
      <c r="F35" s="10">
        <v>7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2:27" x14ac:dyDescent="0.25">
      <c r="B36" s="10">
        <v>6</v>
      </c>
      <c r="C36" s="10" t="s">
        <v>98</v>
      </c>
      <c r="D36" s="11">
        <v>46237</v>
      </c>
      <c r="E36" s="11">
        <v>46243</v>
      </c>
      <c r="F36" s="10">
        <v>7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2:27" x14ac:dyDescent="0.25">
      <c r="B37" s="10">
        <v>7</v>
      </c>
      <c r="C37" s="10" t="s">
        <v>98</v>
      </c>
      <c r="D37" s="11">
        <v>46244</v>
      </c>
      <c r="E37" s="11">
        <v>46250</v>
      </c>
      <c r="F37" s="10">
        <v>7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2:27" x14ac:dyDescent="0.25">
      <c r="B38" s="10">
        <v>8</v>
      </c>
      <c r="C38" s="10" t="s">
        <v>98</v>
      </c>
      <c r="D38" s="11">
        <v>46251</v>
      </c>
      <c r="E38" s="11">
        <v>46257</v>
      </c>
      <c r="F38" s="10">
        <v>7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2:27" x14ac:dyDescent="0.25">
      <c r="B39" s="10">
        <v>9</v>
      </c>
      <c r="C39" s="10" t="s">
        <v>98</v>
      </c>
      <c r="D39" s="11">
        <v>46258</v>
      </c>
      <c r="E39" s="11">
        <v>46264</v>
      </c>
      <c r="F39" s="10">
        <v>7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2:27" x14ac:dyDescent="0.25">
      <c r="B40" s="10">
        <v>10</v>
      </c>
      <c r="C40" s="10" t="s">
        <v>98</v>
      </c>
      <c r="D40" s="11">
        <v>46265</v>
      </c>
      <c r="E40" s="11">
        <v>46271</v>
      </c>
      <c r="F40" s="10">
        <v>7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2:27" x14ac:dyDescent="0.25">
      <c r="B41" s="10">
        <v>11</v>
      </c>
      <c r="C41" s="10" t="s">
        <v>98</v>
      </c>
      <c r="D41" s="11">
        <v>46272</v>
      </c>
      <c r="E41" s="11">
        <v>46278</v>
      </c>
      <c r="F41" s="10">
        <v>7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2:27" x14ac:dyDescent="0.25">
      <c r="B42" s="10">
        <v>12</v>
      </c>
      <c r="C42" s="10" t="s">
        <v>98</v>
      </c>
      <c r="D42" s="11">
        <v>46279</v>
      </c>
      <c r="E42" s="11">
        <v>46285</v>
      </c>
      <c r="F42" s="10">
        <v>7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2:27" ht="15.75" thickBot="1" x14ac:dyDescent="0.3">
      <c r="B43" s="12">
        <v>13</v>
      </c>
      <c r="C43" s="12" t="s">
        <v>99</v>
      </c>
      <c r="D43" s="13">
        <v>46286</v>
      </c>
      <c r="E43" s="13">
        <v>46293</v>
      </c>
      <c r="F43" s="12">
        <v>8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2:27" x14ac:dyDescent="0.25">
      <c r="B44" s="8">
        <v>1</v>
      </c>
      <c r="C44" s="8" t="s">
        <v>100</v>
      </c>
      <c r="D44" s="9">
        <v>46294</v>
      </c>
      <c r="E44" s="9">
        <v>46300</v>
      </c>
      <c r="F44" s="8">
        <v>7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2:27" x14ac:dyDescent="0.25">
      <c r="B45" s="8">
        <v>2</v>
      </c>
      <c r="C45" s="8" t="s">
        <v>101</v>
      </c>
      <c r="D45" s="9">
        <v>46301</v>
      </c>
      <c r="E45" s="9">
        <v>46307</v>
      </c>
      <c r="F45" s="8">
        <v>7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10"/>
      <c r="AA45" s="8"/>
    </row>
    <row r="46" spans="2:27" x14ac:dyDescent="0.25">
      <c r="B46" s="10">
        <v>3</v>
      </c>
      <c r="C46" s="10" t="s">
        <v>101</v>
      </c>
      <c r="D46" s="11">
        <v>46308</v>
      </c>
      <c r="E46" s="11">
        <v>46314</v>
      </c>
      <c r="F46" s="10">
        <v>7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2:27" x14ac:dyDescent="0.25">
      <c r="B47" s="10">
        <v>4</v>
      </c>
      <c r="C47" s="10" t="s">
        <v>101</v>
      </c>
      <c r="D47" s="11">
        <v>46315</v>
      </c>
      <c r="E47" s="11">
        <v>46321</v>
      </c>
      <c r="F47" s="10">
        <v>7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2:27" x14ac:dyDescent="0.25">
      <c r="B48" s="10">
        <v>5</v>
      </c>
      <c r="C48" s="10" t="s">
        <v>101</v>
      </c>
      <c r="D48" s="11">
        <v>46322</v>
      </c>
      <c r="E48" s="11">
        <v>46328</v>
      </c>
      <c r="F48" s="10">
        <v>7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2:27" x14ac:dyDescent="0.25">
      <c r="B49" s="10">
        <v>6</v>
      </c>
      <c r="C49" s="10" t="s">
        <v>101</v>
      </c>
      <c r="D49" s="11">
        <v>46329</v>
      </c>
      <c r="E49" s="11">
        <v>46335</v>
      </c>
      <c r="F49" s="10">
        <v>7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2:27" x14ac:dyDescent="0.25">
      <c r="B50" s="10">
        <v>7</v>
      </c>
      <c r="C50" s="10" t="s">
        <v>101</v>
      </c>
      <c r="D50" s="11">
        <v>46336</v>
      </c>
      <c r="E50" s="11">
        <v>46342</v>
      </c>
      <c r="F50" s="10">
        <v>7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2:27" x14ac:dyDescent="0.25">
      <c r="B51" s="10">
        <v>8</v>
      </c>
      <c r="C51" s="10" t="s">
        <v>101</v>
      </c>
      <c r="D51" s="11">
        <v>46343</v>
      </c>
      <c r="E51" s="11">
        <v>46349</v>
      </c>
      <c r="F51" s="10">
        <v>7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2:27" x14ac:dyDescent="0.25">
      <c r="B52" s="10">
        <v>9</v>
      </c>
      <c r="C52" s="10" t="s">
        <v>101</v>
      </c>
      <c r="D52" s="11">
        <v>46350</v>
      </c>
      <c r="E52" s="11">
        <v>46356</v>
      </c>
      <c r="F52" s="10">
        <v>7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2:27" x14ac:dyDescent="0.25">
      <c r="B53" s="10">
        <v>10</v>
      </c>
      <c r="C53" s="10" t="s">
        <v>101</v>
      </c>
      <c r="D53" s="11">
        <v>46357</v>
      </c>
      <c r="E53" s="11">
        <v>46363</v>
      </c>
      <c r="F53" s="10">
        <v>7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2:27" x14ac:dyDescent="0.25">
      <c r="B54" s="10">
        <v>11</v>
      </c>
      <c r="C54" s="10" t="s">
        <v>101</v>
      </c>
      <c r="D54" s="11">
        <v>46364</v>
      </c>
      <c r="E54" s="11">
        <v>46370</v>
      </c>
      <c r="F54" s="10">
        <v>7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2:27" x14ac:dyDescent="0.25">
      <c r="B55" s="10">
        <v>12</v>
      </c>
      <c r="C55" s="10" t="s">
        <v>101</v>
      </c>
      <c r="D55" s="11">
        <v>46371</v>
      </c>
      <c r="E55" s="11">
        <v>46377</v>
      </c>
      <c r="F55" s="10">
        <v>7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2:27" ht="15.75" thickBot="1" x14ac:dyDescent="0.3">
      <c r="B56" s="12">
        <v>13</v>
      </c>
      <c r="C56" s="12" t="s">
        <v>102</v>
      </c>
      <c r="D56" s="13">
        <v>46378</v>
      </c>
      <c r="E56" s="13">
        <v>46387</v>
      </c>
      <c r="F56" s="12">
        <v>10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2:27" x14ac:dyDescent="0.25"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</sheetData>
  <mergeCells count="1">
    <mergeCell ref="B2:AA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460118-8CBB-427E-8C29-AC474D1D57CD}">
          <x14:formula1>
            <xm:f>'Datos de la hoja'!$B$2:$B$4</xm:f>
          </x14:formula1>
          <xm:sqref>Z5:Z56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D7A97-62CC-4ABE-B248-B7F23E9DD8A9}">
  <dimension ref="B1:AB57"/>
  <sheetViews>
    <sheetView showGridLines="0" topLeftCell="K1" zoomScaleNormal="100" workbookViewId="0">
      <selection activeCell="L5" sqref="L5"/>
    </sheetView>
  </sheetViews>
  <sheetFormatPr baseColWidth="10" defaultRowHeight="15" x14ac:dyDescent="0.25"/>
  <cols>
    <col min="1" max="1" width="10.28515625" customWidth="1"/>
    <col min="2" max="2" width="9.28515625" bestFit="1" customWidth="1"/>
    <col min="3" max="3" width="18.140625" bestFit="1" customWidth="1"/>
    <col min="4" max="4" width="12.85546875" bestFit="1" customWidth="1"/>
    <col min="5" max="5" width="12.42578125" bestFit="1" customWidth="1"/>
    <col min="6" max="6" width="15.85546875" bestFit="1" customWidth="1"/>
    <col min="7" max="7" width="16.28515625" bestFit="1" customWidth="1"/>
    <col min="8" max="8" width="43.140625" bestFit="1" customWidth="1"/>
    <col min="9" max="9" width="56.5703125" bestFit="1" customWidth="1"/>
    <col min="10" max="10" width="27.85546875" bestFit="1" customWidth="1"/>
    <col min="11" max="11" width="32.5703125" bestFit="1" customWidth="1"/>
    <col min="12" max="12" width="13.85546875" bestFit="1" customWidth="1"/>
    <col min="13" max="13" width="152.5703125" bestFit="1" customWidth="1"/>
    <col min="14" max="14" width="19.5703125" bestFit="1" customWidth="1"/>
    <col min="15" max="15" width="13.7109375" bestFit="1" customWidth="1"/>
    <col min="16" max="16" width="14.5703125" bestFit="1" customWidth="1"/>
    <col min="17" max="17" width="11" bestFit="1" customWidth="1"/>
    <col min="18" max="18" width="17.42578125" bestFit="1" customWidth="1"/>
    <col min="19" max="19" width="14.42578125" bestFit="1" customWidth="1"/>
    <col min="20" max="20" width="18.42578125" bestFit="1" customWidth="1"/>
    <col min="21" max="21" width="12.140625" bestFit="1" customWidth="1"/>
    <col min="22" max="22" width="18" bestFit="1" customWidth="1"/>
    <col min="23" max="23" width="14" bestFit="1" customWidth="1"/>
    <col min="24" max="24" width="12.42578125" bestFit="1" customWidth="1"/>
    <col min="25" max="25" width="15.28515625" bestFit="1" customWidth="1"/>
    <col min="26" max="26" width="16.7109375" bestFit="1" customWidth="1"/>
    <col min="27" max="27" width="23.42578125" bestFit="1" customWidth="1"/>
    <col min="28" max="28" width="160.140625" bestFit="1" customWidth="1"/>
  </cols>
  <sheetData>
    <row r="1" spans="2:28" ht="15.75" thickBot="1" x14ac:dyDescent="0.3"/>
    <row r="2" spans="2:28" ht="30.75" thickBot="1" x14ac:dyDescent="0.45">
      <c r="B2" s="31" t="s">
        <v>16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3"/>
    </row>
    <row r="4" spans="2:28" x14ac:dyDescent="0.25">
      <c r="B4" s="7" t="s">
        <v>71</v>
      </c>
      <c r="C4" s="7" t="s">
        <v>72</v>
      </c>
      <c r="D4" s="7" t="s">
        <v>73</v>
      </c>
      <c r="E4" s="7" t="s">
        <v>74</v>
      </c>
      <c r="F4" s="7" t="s">
        <v>75</v>
      </c>
      <c r="G4" s="7" t="s">
        <v>0</v>
      </c>
      <c r="H4" s="7" t="s">
        <v>76</v>
      </c>
      <c r="I4" s="7" t="s">
        <v>2</v>
      </c>
      <c r="J4" s="7" t="s">
        <v>3</v>
      </c>
      <c r="K4" s="7" t="s">
        <v>4</v>
      </c>
      <c r="L4" s="7" t="s">
        <v>77</v>
      </c>
      <c r="M4" s="7" t="s">
        <v>78</v>
      </c>
      <c r="N4" s="7" t="s">
        <v>131</v>
      </c>
      <c r="O4" s="7" t="s">
        <v>132</v>
      </c>
      <c r="P4" s="7" t="s">
        <v>79</v>
      </c>
      <c r="Q4" s="7" t="s">
        <v>193</v>
      </c>
      <c r="R4" s="7" t="s">
        <v>80</v>
      </c>
      <c r="S4" s="7" t="s">
        <v>81</v>
      </c>
      <c r="T4" s="7" t="s">
        <v>194</v>
      </c>
      <c r="U4" s="19" t="s">
        <v>138</v>
      </c>
      <c r="V4" s="19" t="s">
        <v>139</v>
      </c>
      <c r="W4" s="7" t="s">
        <v>82</v>
      </c>
      <c r="X4" s="7" t="s">
        <v>83</v>
      </c>
      <c r="Y4" s="7" t="s">
        <v>84</v>
      </c>
      <c r="Z4" s="7" t="s">
        <v>85</v>
      </c>
      <c r="AA4" s="7" t="s">
        <v>86</v>
      </c>
      <c r="AB4" s="7" t="s">
        <v>87</v>
      </c>
    </row>
    <row r="5" spans="2:28" x14ac:dyDescent="0.25">
      <c r="B5" s="8">
        <v>1</v>
      </c>
      <c r="C5" s="8" t="s">
        <v>91</v>
      </c>
      <c r="D5" s="9">
        <v>46023</v>
      </c>
      <c r="E5" s="9">
        <v>46029</v>
      </c>
      <c r="F5" s="8">
        <v>7</v>
      </c>
      <c r="G5" s="10" t="s">
        <v>8</v>
      </c>
      <c r="H5" s="10" t="s">
        <v>23</v>
      </c>
      <c r="I5" s="10" t="s">
        <v>130</v>
      </c>
      <c r="J5" s="10" t="s">
        <v>105</v>
      </c>
      <c r="K5" s="10" t="s">
        <v>106</v>
      </c>
      <c r="L5" s="10" t="s">
        <v>198</v>
      </c>
      <c r="M5" s="10" t="s">
        <v>148</v>
      </c>
      <c r="N5" s="10">
        <v>450</v>
      </c>
      <c r="O5" s="10">
        <v>1000</v>
      </c>
      <c r="P5" s="22">
        <f>N5/O5</f>
        <v>0.45</v>
      </c>
      <c r="Q5" s="22">
        <v>0.5</v>
      </c>
      <c r="R5" s="22">
        <f>IF(P5&lt;=Q5,1,Q5/P5)</f>
        <v>1</v>
      </c>
      <c r="S5" s="10">
        <f>N5/U5</f>
        <v>112.5</v>
      </c>
      <c r="T5" s="20">
        <v>110</v>
      </c>
      <c r="U5" s="20">
        <v>4</v>
      </c>
      <c r="V5" s="20">
        <v>5</v>
      </c>
      <c r="W5" s="22">
        <f>V5/U5</f>
        <v>1.25</v>
      </c>
      <c r="X5" s="22">
        <f>IF(P5&lt;=Q5,1,0)</f>
        <v>1</v>
      </c>
      <c r="Y5" s="22">
        <f>W5*X5</f>
        <v>1.25</v>
      </c>
      <c r="Z5" s="22">
        <f>IF(S5=0,1,IF(S5&lt;=T5,1,T5/S5))</f>
        <v>0.97777777777777775</v>
      </c>
      <c r="AA5" s="10" t="s">
        <v>190</v>
      </c>
      <c r="AB5" s="10" t="s">
        <v>147</v>
      </c>
    </row>
    <row r="6" spans="2:28" x14ac:dyDescent="0.25">
      <c r="B6" s="10">
        <v>2</v>
      </c>
      <c r="C6" s="10" t="s">
        <v>92</v>
      </c>
      <c r="D6" s="11">
        <v>46030</v>
      </c>
      <c r="E6" s="11">
        <v>46036</v>
      </c>
      <c r="F6" s="10">
        <v>7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22">
        <v>0.5</v>
      </c>
      <c r="R6" s="10"/>
      <c r="S6" s="10"/>
      <c r="T6" s="20">
        <v>110</v>
      </c>
      <c r="U6" s="10"/>
      <c r="V6" s="10"/>
      <c r="W6" s="10"/>
      <c r="X6" s="10"/>
      <c r="Y6" s="10"/>
      <c r="Z6" s="10"/>
      <c r="AA6" s="10"/>
      <c r="AB6" s="10"/>
    </row>
    <row r="7" spans="2:28" x14ac:dyDescent="0.25">
      <c r="B7" s="10">
        <v>3</v>
      </c>
      <c r="C7" s="10" t="s">
        <v>92</v>
      </c>
      <c r="D7" s="11">
        <v>46037</v>
      </c>
      <c r="E7" s="11">
        <v>46043</v>
      </c>
      <c r="F7" s="10">
        <v>7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22">
        <v>0.5</v>
      </c>
      <c r="R7" s="10"/>
      <c r="S7" s="10"/>
      <c r="T7" s="20">
        <v>110</v>
      </c>
      <c r="U7" s="10"/>
      <c r="V7" s="10"/>
      <c r="W7" s="10"/>
      <c r="X7" s="10"/>
      <c r="Y7" s="10"/>
      <c r="Z7" s="10"/>
      <c r="AA7" s="10"/>
      <c r="AB7" s="10"/>
    </row>
    <row r="8" spans="2:28" x14ac:dyDescent="0.25">
      <c r="B8" s="10">
        <v>4</v>
      </c>
      <c r="C8" s="10" t="s">
        <v>92</v>
      </c>
      <c r="D8" s="11">
        <v>46044</v>
      </c>
      <c r="E8" s="11">
        <v>46050</v>
      </c>
      <c r="F8" s="10">
        <v>7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22">
        <v>0.5</v>
      </c>
      <c r="R8" s="10"/>
      <c r="S8" s="10"/>
      <c r="T8" s="20">
        <v>110</v>
      </c>
      <c r="U8" s="10"/>
      <c r="V8" s="10"/>
      <c r="W8" s="10"/>
      <c r="X8" s="10"/>
      <c r="Y8" s="10"/>
      <c r="Z8" s="10"/>
      <c r="AA8" s="10"/>
      <c r="AB8" s="10"/>
    </row>
    <row r="9" spans="2:28" x14ac:dyDescent="0.25">
      <c r="B9" s="10">
        <v>5</v>
      </c>
      <c r="C9" s="10" t="s">
        <v>92</v>
      </c>
      <c r="D9" s="11">
        <v>46051</v>
      </c>
      <c r="E9" s="11">
        <v>46057</v>
      </c>
      <c r="F9" s="10">
        <v>7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22">
        <v>0.5</v>
      </c>
      <c r="R9" s="10"/>
      <c r="S9" s="10"/>
      <c r="T9" s="20">
        <v>110</v>
      </c>
      <c r="U9" s="10"/>
      <c r="V9" s="10"/>
      <c r="W9" s="10"/>
      <c r="X9" s="10"/>
      <c r="Y9" s="10"/>
      <c r="Z9" s="10"/>
      <c r="AA9" s="10"/>
      <c r="AB9" s="10"/>
    </row>
    <row r="10" spans="2:28" x14ac:dyDescent="0.25">
      <c r="B10" s="10">
        <v>6</v>
      </c>
      <c r="C10" s="10" t="s">
        <v>92</v>
      </c>
      <c r="D10" s="11">
        <v>46058</v>
      </c>
      <c r="E10" s="11">
        <v>46064</v>
      </c>
      <c r="F10" s="10">
        <v>7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22">
        <v>0.5</v>
      </c>
      <c r="R10" s="10"/>
      <c r="S10" s="10"/>
      <c r="T10" s="20">
        <v>110</v>
      </c>
      <c r="U10" s="10"/>
      <c r="V10" s="10"/>
      <c r="W10" s="10"/>
      <c r="X10" s="10"/>
      <c r="Y10" s="10"/>
      <c r="Z10" s="10"/>
      <c r="AA10" s="10"/>
      <c r="AB10" s="10"/>
    </row>
    <row r="11" spans="2:28" x14ac:dyDescent="0.25">
      <c r="B11" s="10">
        <v>7</v>
      </c>
      <c r="C11" s="10" t="s">
        <v>92</v>
      </c>
      <c r="D11" s="11">
        <v>46065</v>
      </c>
      <c r="E11" s="11">
        <v>46071</v>
      </c>
      <c r="F11" s="10">
        <v>7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2">
        <v>0.5</v>
      </c>
      <c r="R11" s="10"/>
      <c r="S11" s="10"/>
      <c r="T11" s="20">
        <v>110</v>
      </c>
      <c r="U11" s="10"/>
      <c r="V11" s="10"/>
      <c r="W11" s="10"/>
      <c r="X11" s="10"/>
      <c r="Y11" s="10"/>
      <c r="Z11" s="10"/>
      <c r="AA11" s="10"/>
      <c r="AB11" s="10"/>
    </row>
    <row r="12" spans="2:28" x14ac:dyDescent="0.25">
      <c r="B12" s="10">
        <v>8</v>
      </c>
      <c r="C12" s="10" t="s">
        <v>92</v>
      </c>
      <c r="D12" s="11">
        <v>46072</v>
      </c>
      <c r="E12" s="11">
        <v>46078</v>
      </c>
      <c r="F12" s="10">
        <v>7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22">
        <v>0.5</v>
      </c>
      <c r="R12" s="10"/>
      <c r="S12" s="10"/>
      <c r="T12" s="20">
        <v>110</v>
      </c>
      <c r="U12" s="10"/>
      <c r="V12" s="10"/>
      <c r="W12" s="10"/>
      <c r="X12" s="10"/>
      <c r="Y12" s="10"/>
      <c r="Z12" s="10"/>
      <c r="AA12" s="10"/>
      <c r="AB12" s="10"/>
    </row>
    <row r="13" spans="2:28" x14ac:dyDescent="0.25">
      <c r="B13" s="10">
        <v>9</v>
      </c>
      <c r="C13" s="10" t="s">
        <v>92</v>
      </c>
      <c r="D13" s="11">
        <v>46079</v>
      </c>
      <c r="E13" s="11">
        <v>46085</v>
      </c>
      <c r="F13" s="10">
        <v>7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22">
        <v>0.5</v>
      </c>
      <c r="R13" s="10"/>
      <c r="S13" s="10"/>
      <c r="T13" s="20">
        <v>110</v>
      </c>
      <c r="U13" s="10"/>
      <c r="V13" s="10"/>
      <c r="W13" s="10"/>
      <c r="X13" s="10"/>
      <c r="Y13" s="10"/>
      <c r="Z13" s="10"/>
      <c r="AA13" s="10"/>
      <c r="AB13" s="10"/>
    </row>
    <row r="14" spans="2:28" x14ac:dyDescent="0.25">
      <c r="B14" s="10">
        <v>10</v>
      </c>
      <c r="C14" s="10" t="s">
        <v>92</v>
      </c>
      <c r="D14" s="11">
        <v>46086</v>
      </c>
      <c r="E14" s="11">
        <v>46092</v>
      </c>
      <c r="F14" s="10">
        <v>7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22">
        <v>0.5</v>
      </c>
      <c r="R14" s="10"/>
      <c r="S14" s="10"/>
      <c r="T14" s="20">
        <v>110</v>
      </c>
      <c r="U14" s="10"/>
      <c r="V14" s="10"/>
      <c r="W14" s="10"/>
      <c r="X14" s="10"/>
      <c r="Y14" s="10"/>
      <c r="Z14" s="10"/>
      <c r="AA14" s="10"/>
      <c r="AB14" s="10"/>
    </row>
    <row r="15" spans="2:28" x14ac:dyDescent="0.25">
      <c r="B15" s="10">
        <v>11</v>
      </c>
      <c r="C15" s="10" t="s">
        <v>92</v>
      </c>
      <c r="D15" s="11">
        <v>46093</v>
      </c>
      <c r="E15" s="11">
        <v>46099</v>
      </c>
      <c r="F15" s="10">
        <v>7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22">
        <v>0.5</v>
      </c>
      <c r="R15" s="10"/>
      <c r="S15" s="10"/>
      <c r="T15" s="20">
        <v>110</v>
      </c>
      <c r="U15" s="10"/>
      <c r="V15" s="10"/>
      <c r="W15" s="10"/>
      <c r="X15" s="10"/>
      <c r="Y15" s="10"/>
      <c r="Z15" s="10"/>
      <c r="AA15" s="10"/>
      <c r="AB15" s="10"/>
    </row>
    <row r="16" spans="2:28" x14ac:dyDescent="0.25">
      <c r="B16" s="10">
        <v>12</v>
      </c>
      <c r="C16" s="10" t="s">
        <v>92</v>
      </c>
      <c r="D16" s="11">
        <v>46100</v>
      </c>
      <c r="E16" s="11">
        <v>46106</v>
      </c>
      <c r="F16" s="10">
        <v>7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22">
        <v>0.5</v>
      </c>
      <c r="R16" s="10"/>
      <c r="S16" s="10"/>
      <c r="T16" s="20">
        <v>110</v>
      </c>
      <c r="U16" s="10"/>
      <c r="V16" s="10"/>
      <c r="W16" s="10"/>
      <c r="X16" s="10"/>
      <c r="Y16" s="10"/>
      <c r="Z16" s="10"/>
      <c r="AA16" s="10"/>
      <c r="AB16" s="10"/>
    </row>
    <row r="17" spans="2:28" ht="15.75" thickBot="1" x14ac:dyDescent="0.3">
      <c r="B17" s="12">
        <v>13</v>
      </c>
      <c r="C17" s="12" t="s">
        <v>93</v>
      </c>
      <c r="D17" s="13">
        <v>46107</v>
      </c>
      <c r="E17" s="13">
        <v>46109</v>
      </c>
      <c r="F17" s="12">
        <v>3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23">
        <v>0.5</v>
      </c>
      <c r="R17" s="12"/>
      <c r="S17" s="12"/>
      <c r="T17" s="21">
        <v>110</v>
      </c>
      <c r="U17" s="12"/>
      <c r="V17" s="12"/>
      <c r="W17" s="12"/>
      <c r="X17" s="12"/>
      <c r="Y17" s="12"/>
      <c r="Z17" s="12"/>
      <c r="AA17" s="12"/>
      <c r="AB17" s="12"/>
    </row>
    <row r="18" spans="2:28" x14ac:dyDescent="0.25">
      <c r="B18" s="14">
        <v>1</v>
      </c>
      <c r="C18" s="14" t="s">
        <v>94</v>
      </c>
      <c r="D18" s="15">
        <v>46110</v>
      </c>
      <c r="E18" s="15">
        <v>46116</v>
      </c>
      <c r="F18" s="14">
        <v>7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2:28" x14ac:dyDescent="0.25">
      <c r="B19" s="10">
        <v>2</v>
      </c>
      <c r="C19" s="10" t="s">
        <v>95</v>
      </c>
      <c r="D19" s="11">
        <v>46117</v>
      </c>
      <c r="E19" s="11">
        <v>46123</v>
      </c>
      <c r="F19" s="10">
        <v>7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2:28" x14ac:dyDescent="0.25">
      <c r="B20" s="10">
        <v>3</v>
      </c>
      <c r="C20" s="10" t="s">
        <v>95</v>
      </c>
      <c r="D20" s="11">
        <v>46124</v>
      </c>
      <c r="E20" s="11">
        <v>46130</v>
      </c>
      <c r="F20" s="10">
        <v>7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spans="2:28" x14ac:dyDescent="0.25">
      <c r="B21" s="10">
        <v>4</v>
      </c>
      <c r="C21" s="10" t="s">
        <v>95</v>
      </c>
      <c r="D21" s="11">
        <v>46131</v>
      </c>
      <c r="E21" s="11">
        <v>46137</v>
      </c>
      <c r="F21" s="10">
        <v>7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pans="2:28" x14ac:dyDescent="0.25">
      <c r="B22" s="10">
        <v>5</v>
      </c>
      <c r="C22" s="10" t="s">
        <v>95</v>
      </c>
      <c r="D22" s="11">
        <v>46138</v>
      </c>
      <c r="E22" s="11">
        <v>46144</v>
      </c>
      <c r="F22" s="10">
        <v>7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spans="2:28" x14ac:dyDescent="0.25">
      <c r="B23" s="10">
        <v>6</v>
      </c>
      <c r="C23" s="10" t="s">
        <v>95</v>
      </c>
      <c r="D23" s="11">
        <v>46145</v>
      </c>
      <c r="E23" s="11">
        <v>46151</v>
      </c>
      <c r="F23" s="10">
        <v>7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pans="2:28" x14ac:dyDescent="0.25">
      <c r="B24" s="10">
        <v>7</v>
      </c>
      <c r="C24" s="10" t="s">
        <v>95</v>
      </c>
      <c r="D24" s="11">
        <v>46152</v>
      </c>
      <c r="E24" s="11">
        <v>46158</v>
      </c>
      <c r="F24" s="10">
        <v>7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spans="2:28" x14ac:dyDescent="0.25">
      <c r="B25" s="10">
        <v>8</v>
      </c>
      <c r="C25" s="10" t="s">
        <v>95</v>
      </c>
      <c r="D25" s="11">
        <v>46159</v>
      </c>
      <c r="E25" s="11">
        <v>46165</v>
      </c>
      <c r="F25" s="10">
        <v>7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2:28" x14ac:dyDescent="0.25">
      <c r="B26" s="10">
        <v>9</v>
      </c>
      <c r="C26" s="10" t="s">
        <v>95</v>
      </c>
      <c r="D26" s="11">
        <v>46166</v>
      </c>
      <c r="E26" s="11">
        <v>46172</v>
      </c>
      <c r="F26" s="10">
        <v>7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2:28" x14ac:dyDescent="0.25">
      <c r="B27" s="10">
        <v>10</v>
      </c>
      <c r="C27" s="10" t="s">
        <v>95</v>
      </c>
      <c r="D27" s="11">
        <v>46173</v>
      </c>
      <c r="E27" s="11">
        <v>46179</v>
      </c>
      <c r="F27" s="10">
        <v>7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2:28" x14ac:dyDescent="0.25">
      <c r="B28" s="10">
        <v>11</v>
      </c>
      <c r="C28" s="10" t="s">
        <v>95</v>
      </c>
      <c r="D28" s="11">
        <v>46180</v>
      </c>
      <c r="E28" s="11">
        <v>46186</v>
      </c>
      <c r="F28" s="10">
        <v>7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2:28" x14ac:dyDescent="0.25">
      <c r="B29" s="10">
        <v>12</v>
      </c>
      <c r="C29" s="10" t="s">
        <v>95</v>
      </c>
      <c r="D29" s="11">
        <v>46187</v>
      </c>
      <c r="E29" s="11">
        <v>46193</v>
      </c>
      <c r="F29" s="10">
        <v>7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2:28" ht="15.75" thickBot="1" x14ac:dyDescent="0.3">
      <c r="B30" s="12">
        <v>13</v>
      </c>
      <c r="C30" s="12" t="s">
        <v>96</v>
      </c>
      <c r="D30" s="13">
        <v>46194</v>
      </c>
      <c r="E30" s="13">
        <v>46201</v>
      </c>
      <c r="F30" s="12">
        <v>8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 spans="2:28" x14ac:dyDescent="0.25">
      <c r="B31" s="14">
        <v>1</v>
      </c>
      <c r="C31" s="14" t="s">
        <v>97</v>
      </c>
      <c r="D31" s="15">
        <v>46202</v>
      </c>
      <c r="E31" s="15">
        <v>46208</v>
      </c>
      <c r="F31" s="14">
        <v>7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2:28" x14ac:dyDescent="0.25">
      <c r="B32" s="10">
        <v>2</v>
      </c>
      <c r="C32" s="10" t="s">
        <v>98</v>
      </c>
      <c r="D32" s="11">
        <v>46209</v>
      </c>
      <c r="E32" s="11">
        <v>46215</v>
      </c>
      <c r="F32" s="10">
        <v>7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2:28" x14ac:dyDescent="0.25">
      <c r="B33" s="10">
        <v>3</v>
      </c>
      <c r="C33" s="10" t="s">
        <v>98</v>
      </c>
      <c r="D33" s="11">
        <v>46216</v>
      </c>
      <c r="E33" s="11">
        <v>46222</v>
      </c>
      <c r="F33" s="10">
        <v>7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spans="2:28" x14ac:dyDescent="0.25">
      <c r="B34" s="10">
        <v>4</v>
      </c>
      <c r="C34" s="10" t="s">
        <v>98</v>
      </c>
      <c r="D34" s="11">
        <v>46223</v>
      </c>
      <c r="E34" s="11">
        <v>46229</v>
      </c>
      <c r="F34" s="10">
        <v>7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spans="2:28" x14ac:dyDescent="0.25">
      <c r="B35" s="10">
        <v>5</v>
      </c>
      <c r="C35" s="10" t="s">
        <v>98</v>
      </c>
      <c r="D35" s="11">
        <v>46230</v>
      </c>
      <c r="E35" s="11">
        <v>46236</v>
      </c>
      <c r="F35" s="10">
        <v>7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2:28" x14ac:dyDescent="0.25">
      <c r="B36" s="10">
        <v>6</v>
      </c>
      <c r="C36" s="10" t="s">
        <v>98</v>
      </c>
      <c r="D36" s="11">
        <v>46237</v>
      </c>
      <c r="E36" s="11">
        <v>46243</v>
      </c>
      <c r="F36" s="10">
        <v>7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spans="2:28" x14ac:dyDescent="0.25">
      <c r="B37" s="10">
        <v>7</v>
      </c>
      <c r="C37" s="10" t="s">
        <v>98</v>
      </c>
      <c r="D37" s="11">
        <v>46244</v>
      </c>
      <c r="E37" s="11">
        <v>46250</v>
      </c>
      <c r="F37" s="10">
        <v>7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spans="2:28" x14ac:dyDescent="0.25">
      <c r="B38" s="10">
        <v>8</v>
      </c>
      <c r="C38" s="10" t="s">
        <v>98</v>
      </c>
      <c r="D38" s="11">
        <v>46251</v>
      </c>
      <c r="E38" s="11">
        <v>46257</v>
      </c>
      <c r="F38" s="10">
        <v>7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2:28" x14ac:dyDescent="0.25">
      <c r="B39" s="10">
        <v>9</v>
      </c>
      <c r="C39" s="10" t="s">
        <v>98</v>
      </c>
      <c r="D39" s="11">
        <v>46258</v>
      </c>
      <c r="E39" s="11">
        <v>46264</v>
      </c>
      <c r="F39" s="10">
        <v>7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2:28" x14ac:dyDescent="0.25">
      <c r="B40" s="10">
        <v>10</v>
      </c>
      <c r="C40" s="10" t="s">
        <v>98</v>
      </c>
      <c r="D40" s="11">
        <v>46265</v>
      </c>
      <c r="E40" s="11">
        <v>46271</v>
      </c>
      <c r="F40" s="10">
        <v>7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2:28" x14ac:dyDescent="0.25">
      <c r="B41" s="10">
        <v>11</v>
      </c>
      <c r="C41" s="10" t="s">
        <v>98</v>
      </c>
      <c r="D41" s="11">
        <v>46272</v>
      </c>
      <c r="E41" s="11">
        <v>46278</v>
      </c>
      <c r="F41" s="10">
        <v>7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2:28" x14ac:dyDescent="0.25">
      <c r="B42" s="10">
        <v>12</v>
      </c>
      <c r="C42" s="10" t="s">
        <v>98</v>
      </c>
      <c r="D42" s="11">
        <v>46279</v>
      </c>
      <c r="E42" s="11">
        <v>46285</v>
      </c>
      <c r="F42" s="10">
        <v>7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2:28" ht="15.75" thickBot="1" x14ac:dyDescent="0.3">
      <c r="B43" s="12">
        <v>13</v>
      </c>
      <c r="C43" s="12" t="s">
        <v>99</v>
      </c>
      <c r="D43" s="13">
        <v>46286</v>
      </c>
      <c r="E43" s="13">
        <v>46293</v>
      </c>
      <c r="F43" s="12">
        <v>8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spans="2:28" x14ac:dyDescent="0.25">
      <c r="B44" s="17">
        <v>1</v>
      </c>
      <c r="C44" s="17" t="s">
        <v>100</v>
      </c>
      <c r="D44" s="18">
        <v>46294</v>
      </c>
      <c r="E44" s="18">
        <v>46300</v>
      </c>
      <c r="F44" s="17">
        <v>7</v>
      </c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8"/>
      <c r="AB44" s="17"/>
    </row>
    <row r="45" spans="2:28" x14ac:dyDescent="0.25">
      <c r="B45" s="10">
        <v>2</v>
      </c>
      <c r="C45" s="10" t="s">
        <v>101</v>
      </c>
      <c r="D45" s="11">
        <v>46301</v>
      </c>
      <c r="E45" s="11">
        <v>46307</v>
      </c>
      <c r="F45" s="10">
        <v>7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spans="2:28" x14ac:dyDescent="0.25">
      <c r="B46" s="10">
        <v>3</v>
      </c>
      <c r="C46" s="10" t="s">
        <v>101</v>
      </c>
      <c r="D46" s="11">
        <v>46308</v>
      </c>
      <c r="E46" s="11">
        <v>46314</v>
      </c>
      <c r="F46" s="10">
        <v>7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spans="2:28" x14ac:dyDescent="0.25">
      <c r="B47" s="10">
        <v>4</v>
      </c>
      <c r="C47" s="10" t="s">
        <v>101</v>
      </c>
      <c r="D47" s="11">
        <v>46315</v>
      </c>
      <c r="E47" s="11">
        <v>46321</v>
      </c>
      <c r="F47" s="10">
        <v>7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spans="2:28" x14ac:dyDescent="0.25">
      <c r="B48" s="10">
        <v>5</v>
      </c>
      <c r="C48" s="10" t="s">
        <v>101</v>
      </c>
      <c r="D48" s="11">
        <v>46322</v>
      </c>
      <c r="E48" s="11">
        <v>46328</v>
      </c>
      <c r="F48" s="10">
        <v>7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spans="2:28" x14ac:dyDescent="0.25">
      <c r="B49" s="10">
        <v>6</v>
      </c>
      <c r="C49" s="10" t="s">
        <v>101</v>
      </c>
      <c r="D49" s="11">
        <v>46329</v>
      </c>
      <c r="E49" s="11">
        <v>46335</v>
      </c>
      <c r="F49" s="10">
        <v>7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spans="2:28" x14ac:dyDescent="0.25">
      <c r="B50" s="10">
        <v>7</v>
      </c>
      <c r="C50" s="10" t="s">
        <v>101</v>
      </c>
      <c r="D50" s="11">
        <v>46336</v>
      </c>
      <c r="E50" s="11">
        <v>46342</v>
      </c>
      <c r="F50" s="10">
        <v>7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spans="2:28" x14ac:dyDescent="0.25">
      <c r="B51" s="10">
        <v>8</v>
      </c>
      <c r="C51" s="10" t="s">
        <v>101</v>
      </c>
      <c r="D51" s="11">
        <v>46343</v>
      </c>
      <c r="E51" s="11">
        <v>46349</v>
      </c>
      <c r="F51" s="10">
        <v>7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spans="2:28" x14ac:dyDescent="0.25">
      <c r="B52" s="10">
        <v>9</v>
      </c>
      <c r="C52" s="10" t="s">
        <v>101</v>
      </c>
      <c r="D52" s="11">
        <v>46350</v>
      </c>
      <c r="E52" s="11">
        <v>46356</v>
      </c>
      <c r="F52" s="10">
        <v>7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spans="2:28" x14ac:dyDescent="0.25">
      <c r="B53" s="10">
        <v>10</v>
      </c>
      <c r="C53" s="10" t="s">
        <v>101</v>
      </c>
      <c r="D53" s="11">
        <v>46357</v>
      </c>
      <c r="E53" s="11">
        <v>46363</v>
      </c>
      <c r="F53" s="10">
        <v>7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spans="2:28" x14ac:dyDescent="0.25">
      <c r="B54" s="10">
        <v>11</v>
      </c>
      <c r="C54" s="10" t="s">
        <v>101</v>
      </c>
      <c r="D54" s="11">
        <v>46364</v>
      </c>
      <c r="E54" s="11">
        <v>46370</v>
      </c>
      <c r="F54" s="10">
        <v>7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spans="2:28" x14ac:dyDescent="0.25">
      <c r="B55" s="10">
        <v>12</v>
      </c>
      <c r="C55" s="10" t="s">
        <v>101</v>
      </c>
      <c r="D55" s="11">
        <v>46371</v>
      </c>
      <c r="E55" s="11">
        <v>46377</v>
      </c>
      <c r="F55" s="10">
        <v>7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spans="2:28" ht="15.75" thickBot="1" x14ac:dyDescent="0.3">
      <c r="B56" s="12">
        <v>13</v>
      </c>
      <c r="C56" s="12" t="s">
        <v>102</v>
      </c>
      <c r="D56" s="13">
        <v>46378</v>
      </c>
      <c r="E56" s="13">
        <v>46387</v>
      </c>
      <c r="F56" s="12">
        <v>10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spans="2:28" x14ac:dyDescent="0.25"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</sheetData>
  <mergeCells count="1">
    <mergeCell ref="B2:AB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751C75F-481E-4F04-978D-A747CA906002}">
          <x14:formula1>
            <xm:f>'Datos de la hoja'!$B$2:$B$4</xm:f>
          </x14:formula1>
          <xm:sqref>AA5:AA56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EFD76-ABC3-4E14-88CC-2398A25F6528}">
  <dimension ref="B1:AA57"/>
  <sheetViews>
    <sheetView showGridLines="0" topLeftCell="L1" zoomScale="130" zoomScaleNormal="130" workbookViewId="0">
      <selection activeCell="L5" sqref="L5"/>
    </sheetView>
  </sheetViews>
  <sheetFormatPr baseColWidth="10" defaultRowHeight="15" x14ac:dyDescent="0.25"/>
  <cols>
    <col min="1" max="1" width="10.140625" customWidth="1"/>
    <col min="2" max="2" width="9.28515625" bestFit="1" customWidth="1"/>
    <col min="3" max="3" width="18.140625" bestFit="1" customWidth="1"/>
    <col min="4" max="4" width="12.85546875" bestFit="1" customWidth="1"/>
    <col min="5" max="5" width="12.42578125" bestFit="1" customWidth="1"/>
    <col min="6" max="6" width="15.85546875" bestFit="1" customWidth="1"/>
    <col min="7" max="7" width="12" bestFit="1" customWidth="1"/>
    <col min="8" max="8" width="25.5703125" bestFit="1" customWidth="1"/>
    <col min="9" max="9" width="26.140625" bestFit="1" customWidth="1"/>
    <col min="10" max="10" width="22" bestFit="1" customWidth="1"/>
    <col min="11" max="11" width="33.140625" bestFit="1" customWidth="1"/>
    <col min="12" max="12" width="13.85546875" bestFit="1" customWidth="1"/>
    <col min="13" max="13" width="160.140625" bestFit="1" customWidth="1"/>
    <col min="14" max="14" width="25.5703125" bestFit="1" customWidth="1"/>
    <col min="15" max="15" width="14.5703125" bestFit="1" customWidth="1"/>
    <col min="16" max="16" width="11" bestFit="1" customWidth="1"/>
    <col min="17" max="17" width="17.42578125" bestFit="1" customWidth="1"/>
    <col min="18" max="18" width="14.42578125" bestFit="1" customWidth="1"/>
    <col min="19" max="19" width="18.42578125" bestFit="1" customWidth="1"/>
    <col min="20" max="20" width="12.140625" bestFit="1" customWidth="1"/>
    <col min="21" max="21" width="18" bestFit="1" customWidth="1"/>
    <col min="22" max="22" width="14" bestFit="1" customWidth="1"/>
    <col min="23" max="23" width="12.42578125" bestFit="1" customWidth="1"/>
    <col min="24" max="24" width="15.28515625" bestFit="1" customWidth="1"/>
    <col min="25" max="25" width="16.7109375" bestFit="1" customWidth="1"/>
    <col min="26" max="26" width="23.42578125" bestFit="1" customWidth="1"/>
    <col min="27" max="27" width="114.85546875" bestFit="1" customWidth="1"/>
  </cols>
  <sheetData>
    <row r="1" spans="2:27" ht="15.75" thickBot="1" x14ac:dyDescent="0.3"/>
    <row r="2" spans="2:27" ht="30.75" thickBot="1" x14ac:dyDescent="0.45">
      <c r="B2" s="31" t="s">
        <v>16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3"/>
    </row>
    <row r="4" spans="2:27" x14ac:dyDescent="0.25">
      <c r="B4" s="7" t="s">
        <v>71</v>
      </c>
      <c r="C4" s="7" t="s">
        <v>72</v>
      </c>
      <c r="D4" s="7" t="s">
        <v>73</v>
      </c>
      <c r="E4" s="7" t="s">
        <v>74</v>
      </c>
      <c r="F4" s="7" t="s">
        <v>75</v>
      </c>
      <c r="G4" s="7" t="s">
        <v>0</v>
      </c>
      <c r="H4" s="7" t="s">
        <v>76</v>
      </c>
      <c r="I4" s="7" t="s">
        <v>2</v>
      </c>
      <c r="J4" s="7" t="s">
        <v>3</v>
      </c>
      <c r="K4" s="7" t="s">
        <v>4</v>
      </c>
      <c r="L4" s="7" t="s">
        <v>77</v>
      </c>
      <c r="M4" s="7" t="s">
        <v>78</v>
      </c>
      <c r="N4" s="7" t="s">
        <v>25</v>
      </c>
      <c r="O4" s="7" t="s">
        <v>79</v>
      </c>
      <c r="P4" s="7" t="s">
        <v>193</v>
      </c>
      <c r="Q4" s="7" t="s">
        <v>80</v>
      </c>
      <c r="R4" s="7" t="s">
        <v>81</v>
      </c>
      <c r="S4" s="7" t="s">
        <v>194</v>
      </c>
      <c r="T4" s="19" t="s">
        <v>138</v>
      </c>
      <c r="U4" s="19" t="s">
        <v>139</v>
      </c>
      <c r="V4" s="7" t="s">
        <v>82</v>
      </c>
      <c r="W4" s="7" t="s">
        <v>83</v>
      </c>
      <c r="X4" s="7" t="s">
        <v>84</v>
      </c>
      <c r="Y4" s="7" t="s">
        <v>85</v>
      </c>
      <c r="Z4" s="7" t="s">
        <v>86</v>
      </c>
      <c r="AA4" s="7" t="s">
        <v>87</v>
      </c>
    </row>
    <row r="5" spans="2:27" x14ac:dyDescent="0.25">
      <c r="B5" s="8">
        <v>1</v>
      </c>
      <c r="C5" s="8" t="s">
        <v>91</v>
      </c>
      <c r="D5" s="9">
        <v>46023</v>
      </c>
      <c r="E5" s="9">
        <v>46029</v>
      </c>
      <c r="F5" s="8">
        <v>7</v>
      </c>
      <c r="G5" s="10" t="s">
        <v>9</v>
      </c>
      <c r="H5" s="10" t="s">
        <v>25</v>
      </c>
      <c r="I5" s="10" t="s">
        <v>107</v>
      </c>
      <c r="J5" s="10" t="s">
        <v>108</v>
      </c>
      <c r="K5" s="10" t="s">
        <v>109</v>
      </c>
      <c r="L5" s="10" t="s">
        <v>198</v>
      </c>
      <c r="M5" s="10" t="s">
        <v>150</v>
      </c>
      <c r="N5" s="10">
        <v>2</v>
      </c>
      <c r="O5" s="10">
        <f>N5</f>
        <v>2</v>
      </c>
      <c r="P5" s="20">
        <v>5</v>
      </c>
      <c r="Q5" s="22">
        <f>IF(O5&lt;=P5,1,P5/O5)</f>
        <v>1</v>
      </c>
      <c r="R5" s="20">
        <f>N5/T5</f>
        <v>1</v>
      </c>
      <c r="S5" s="20">
        <v>5</v>
      </c>
      <c r="T5" s="20">
        <v>2</v>
      </c>
      <c r="U5" s="20">
        <v>3</v>
      </c>
      <c r="V5" s="22">
        <f>U5/T5</f>
        <v>1.5</v>
      </c>
      <c r="W5" s="22">
        <f>IF(O5&lt;=P5,1,0)</f>
        <v>1</v>
      </c>
      <c r="X5" s="22">
        <f>V5*W5</f>
        <v>1.5</v>
      </c>
      <c r="Y5" s="22">
        <f>IF(R5=0,1,IF(R5&lt;=S5,1,S5/R5))</f>
        <v>1</v>
      </c>
      <c r="Z5" s="10" t="s">
        <v>190</v>
      </c>
      <c r="AA5" s="10" t="s">
        <v>149</v>
      </c>
    </row>
    <row r="6" spans="2:27" x14ac:dyDescent="0.25">
      <c r="B6" s="10">
        <v>2</v>
      </c>
      <c r="C6" s="10" t="s">
        <v>92</v>
      </c>
      <c r="D6" s="11">
        <v>46030</v>
      </c>
      <c r="E6" s="11">
        <v>46036</v>
      </c>
      <c r="F6" s="10">
        <v>7</v>
      </c>
      <c r="G6" s="10"/>
      <c r="H6" s="10"/>
      <c r="I6" s="10"/>
      <c r="J6" s="10"/>
      <c r="K6" s="10"/>
      <c r="L6" s="10"/>
      <c r="M6" s="10"/>
      <c r="N6" s="10"/>
      <c r="O6" s="10"/>
      <c r="P6" s="20">
        <v>5</v>
      </c>
      <c r="Q6" s="10"/>
      <c r="R6" s="10"/>
      <c r="S6" s="20">
        <v>5</v>
      </c>
      <c r="T6" s="10"/>
      <c r="U6" s="10"/>
      <c r="V6" s="10"/>
      <c r="W6" s="10"/>
      <c r="X6" s="10"/>
      <c r="Y6" s="10"/>
      <c r="Z6" s="10"/>
      <c r="AA6" s="10"/>
    </row>
    <row r="7" spans="2:27" x14ac:dyDescent="0.25">
      <c r="B7" s="10">
        <v>3</v>
      </c>
      <c r="C7" s="10" t="s">
        <v>92</v>
      </c>
      <c r="D7" s="11">
        <v>46037</v>
      </c>
      <c r="E7" s="11">
        <v>46043</v>
      </c>
      <c r="F7" s="10">
        <v>7</v>
      </c>
      <c r="G7" s="10"/>
      <c r="H7" s="10"/>
      <c r="I7" s="10"/>
      <c r="J7" s="10"/>
      <c r="K7" s="10"/>
      <c r="L7" s="10"/>
      <c r="M7" s="10"/>
      <c r="N7" s="10"/>
      <c r="O7" s="10"/>
      <c r="P7" s="20">
        <v>5</v>
      </c>
      <c r="Q7" s="10"/>
      <c r="R7" s="10"/>
      <c r="S7" s="20">
        <v>5</v>
      </c>
      <c r="T7" s="10"/>
      <c r="U7" s="10"/>
      <c r="V7" s="10"/>
      <c r="W7" s="10"/>
      <c r="X7" s="10"/>
      <c r="Y7" s="10"/>
      <c r="Z7" s="10"/>
      <c r="AA7" s="10"/>
    </row>
    <row r="8" spans="2:27" x14ac:dyDescent="0.25">
      <c r="B8" s="10">
        <v>4</v>
      </c>
      <c r="C8" s="10" t="s">
        <v>92</v>
      </c>
      <c r="D8" s="11">
        <v>46044</v>
      </c>
      <c r="E8" s="11">
        <v>46050</v>
      </c>
      <c r="F8" s="10">
        <v>7</v>
      </c>
      <c r="G8" s="10"/>
      <c r="H8" s="10"/>
      <c r="I8" s="10"/>
      <c r="J8" s="10"/>
      <c r="K8" s="10"/>
      <c r="L8" s="10"/>
      <c r="M8" s="10"/>
      <c r="N8" s="10"/>
      <c r="O8" s="10"/>
      <c r="P8" s="20">
        <v>5</v>
      </c>
      <c r="Q8" s="10"/>
      <c r="R8" s="10"/>
      <c r="S8" s="20">
        <v>5</v>
      </c>
      <c r="T8" s="10"/>
      <c r="U8" s="10"/>
      <c r="V8" s="10"/>
      <c r="W8" s="10"/>
      <c r="X8" s="10"/>
      <c r="Y8" s="10"/>
      <c r="Z8" s="10"/>
      <c r="AA8" s="10"/>
    </row>
    <row r="9" spans="2:27" x14ac:dyDescent="0.25">
      <c r="B9" s="10">
        <v>5</v>
      </c>
      <c r="C9" s="10" t="s">
        <v>92</v>
      </c>
      <c r="D9" s="11">
        <v>46051</v>
      </c>
      <c r="E9" s="11">
        <v>46057</v>
      </c>
      <c r="F9" s="10">
        <v>7</v>
      </c>
      <c r="G9" s="10"/>
      <c r="H9" s="10"/>
      <c r="I9" s="10"/>
      <c r="J9" s="10"/>
      <c r="K9" s="10"/>
      <c r="L9" s="10"/>
      <c r="M9" s="10"/>
      <c r="N9" s="10"/>
      <c r="O9" s="10"/>
      <c r="P9" s="20">
        <v>5</v>
      </c>
      <c r="Q9" s="10"/>
      <c r="R9" s="10"/>
      <c r="S9" s="20">
        <v>5</v>
      </c>
      <c r="T9" s="10"/>
      <c r="U9" s="10"/>
      <c r="V9" s="10"/>
      <c r="W9" s="10"/>
      <c r="X9" s="10"/>
      <c r="Y9" s="10"/>
      <c r="Z9" s="10"/>
      <c r="AA9" s="10"/>
    </row>
    <row r="10" spans="2:27" x14ac:dyDescent="0.25">
      <c r="B10" s="10">
        <v>6</v>
      </c>
      <c r="C10" s="10" t="s">
        <v>92</v>
      </c>
      <c r="D10" s="11">
        <v>46058</v>
      </c>
      <c r="E10" s="11">
        <v>46064</v>
      </c>
      <c r="F10" s="10">
        <v>7</v>
      </c>
      <c r="G10" s="10"/>
      <c r="H10" s="10"/>
      <c r="I10" s="10"/>
      <c r="J10" s="10"/>
      <c r="K10" s="10"/>
      <c r="L10" s="10"/>
      <c r="M10" s="10"/>
      <c r="N10" s="10"/>
      <c r="O10" s="10"/>
      <c r="P10" s="20">
        <v>5</v>
      </c>
      <c r="Q10" s="10"/>
      <c r="R10" s="10"/>
      <c r="S10" s="20">
        <v>5</v>
      </c>
      <c r="T10" s="10"/>
      <c r="U10" s="10"/>
      <c r="V10" s="10"/>
      <c r="W10" s="10"/>
      <c r="X10" s="10"/>
      <c r="Y10" s="10"/>
      <c r="Z10" s="10"/>
      <c r="AA10" s="10"/>
    </row>
    <row r="11" spans="2:27" x14ac:dyDescent="0.25">
      <c r="B11" s="10">
        <v>7</v>
      </c>
      <c r="C11" s="10" t="s">
        <v>92</v>
      </c>
      <c r="D11" s="11">
        <v>46065</v>
      </c>
      <c r="E11" s="11">
        <v>46071</v>
      </c>
      <c r="F11" s="10">
        <v>7</v>
      </c>
      <c r="G11" s="10"/>
      <c r="H11" s="10"/>
      <c r="I11" s="10"/>
      <c r="J11" s="10"/>
      <c r="K11" s="10"/>
      <c r="L11" s="10"/>
      <c r="M11" s="10"/>
      <c r="N11" s="10"/>
      <c r="O11" s="10"/>
      <c r="P11" s="20">
        <v>5</v>
      </c>
      <c r="Q11" s="10"/>
      <c r="R11" s="10"/>
      <c r="S11" s="20">
        <v>5</v>
      </c>
      <c r="T11" s="10"/>
      <c r="U11" s="10"/>
      <c r="V11" s="10"/>
      <c r="W11" s="10"/>
      <c r="X11" s="10"/>
      <c r="Y11" s="10"/>
      <c r="Z11" s="10"/>
      <c r="AA11" s="10"/>
    </row>
    <row r="12" spans="2:27" x14ac:dyDescent="0.25">
      <c r="B12" s="10">
        <v>8</v>
      </c>
      <c r="C12" s="10" t="s">
        <v>92</v>
      </c>
      <c r="D12" s="11">
        <v>46072</v>
      </c>
      <c r="E12" s="11">
        <v>46078</v>
      </c>
      <c r="F12" s="10">
        <v>7</v>
      </c>
      <c r="G12" s="10"/>
      <c r="H12" s="10"/>
      <c r="I12" s="10"/>
      <c r="J12" s="10"/>
      <c r="K12" s="10"/>
      <c r="L12" s="10"/>
      <c r="M12" s="10"/>
      <c r="N12" s="10"/>
      <c r="O12" s="10"/>
      <c r="P12" s="20">
        <v>5</v>
      </c>
      <c r="Q12" s="10"/>
      <c r="R12" s="10"/>
      <c r="S12" s="20">
        <v>5</v>
      </c>
      <c r="T12" s="10"/>
      <c r="U12" s="10"/>
      <c r="V12" s="10"/>
      <c r="W12" s="10"/>
      <c r="X12" s="10"/>
      <c r="Y12" s="10"/>
      <c r="Z12" s="10"/>
      <c r="AA12" s="10"/>
    </row>
    <row r="13" spans="2:27" x14ac:dyDescent="0.25">
      <c r="B13" s="10">
        <v>9</v>
      </c>
      <c r="C13" s="10" t="s">
        <v>92</v>
      </c>
      <c r="D13" s="11">
        <v>46079</v>
      </c>
      <c r="E13" s="11">
        <v>46085</v>
      </c>
      <c r="F13" s="10">
        <v>7</v>
      </c>
      <c r="G13" s="10"/>
      <c r="H13" s="10"/>
      <c r="I13" s="10"/>
      <c r="J13" s="10"/>
      <c r="K13" s="10"/>
      <c r="L13" s="10"/>
      <c r="M13" s="10"/>
      <c r="N13" s="10"/>
      <c r="O13" s="10"/>
      <c r="P13" s="20">
        <v>5</v>
      </c>
      <c r="Q13" s="10"/>
      <c r="R13" s="10"/>
      <c r="S13" s="20">
        <v>5</v>
      </c>
      <c r="T13" s="10"/>
      <c r="U13" s="10"/>
      <c r="V13" s="10"/>
      <c r="W13" s="10"/>
      <c r="X13" s="10"/>
      <c r="Y13" s="10"/>
      <c r="Z13" s="10"/>
      <c r="AA13" s="10"/>
    </row>
    <row r="14" spans="2:27" x14ac:dyDescent="0.25">
      <c r="B14" s="10">
        <v>10</v>
      </c>
      <c r="C14" s="10" t="s">
        <v>92</v>
      </c>
      <c r="D14" s="11">
        <v>46086</v>
      </c>
      <c r="E14" s="11">
        <v>46092</v>
      </c>
      <c r="F14" s="10">
        <v>7</v>
      </c>
      <c r="G14" s="10"/>
      <c r="H14" s="10"/>
      <c r="I14" s="10"/>
      <c r="J14" s="10"/>
      <c r="K14" s="10"/>
      <c r="L14" s="10"/>
      <c r="M14" s="10"/>
      <c r="N14" s="10"/>
      <c r="O14" s="10"/>
      <c r="P14" s="20">
        <v>5</v>
      </c>
      <c r="Q14" s="10"/>
      <c r="R14" s="10"/>
      <c r="S14" s="20">
        <v>5</v>
      </c>
      <c r="T14" s="10"/>
      <c r="U14" s="10"/>
      <c r="V14" s="10"/>
      <c r="W14" s="10"/>
      <c r="X14" s="10"/>
      <c r="Y14" s="10"/>
      <c r="Z14" s="10"/>
      <c r="AA14" s="10"/>
    </row>
    <row r="15" spans="2:27" x14ac:dyDescent="0.25">
      <c r="B15" s="10">
        <v>11</v>
      </c>
      <c r="C15" s="10" t="s">
        <v>92</v>
      </c>
      <c r="D15" s="11">
        <v>46093</v>
      </c>
      <c r="E15" s="11">
        <v>46099</v>
      </c>
      <c r="F15" s="10">
        <v>7</v>
      </c>
      <c r="G15" s="10"/>
      <c r="H15" s="10"/>
      <c r="I15" s="10"/>
      <c r="J15" s="10"/>
      <c r="K15" s="10"/>
      <c r="L15" s="10"/>
      <c r="M15" s="10"/>
      <c r="N15" s="10"/>
      <c r="O15" s="10"/>
      <c r="P15" s="20">
        <v>5</v>
      </c>
      <c r="Q15" s="10"/>
      <c r="R15" s="10"/>
      <c r="S15" s="20">
        <v>5</v>
      </c>
      <c r="T15" s="10"/>
      <c r="U15" s="10"/>
      <c r="V15" s="10"/>
      <c r="W15" s="10"/>
      <c r="X15" s="10"/>
      <c r="Y15" s="10"/>
      <c r="Z15" s="10"/>
      <c r="AA15" s="10"/>
    </row>
    <row r="16" spans="2:27" x14ac:dyDescent="0.25">
      <c r="B16" s="10">
        <v>12</v>
      </c>
      <c r="C16" s="10" t="s">
        <v>92</v>
      </c>
      <c r="D16" s="11">
        <v>46100</v>
      </c>
      <c r="E16" s="11">
        <v>46106</v>
      </c>
      <c r="F16" s="10">
        <v>7</v>
      </c>
      <c r="G16" s="10"/>
      <c r="H16" s="10"/>
      <c r="I16" s="10"/>
      <c r="J16" s="10"/>
      <c r="K16" s="10"/>
      <c r="L16" s="10"/>
      <c r="M16" s="10"/>
      <c r="N16" s="10"/>
      <c r="O16" s="10"/>
      <c r="P16" s="20">
        <v>5</v>
      </c>
      <c r="Q16" s="10"/>
      <c r="R16" s="10"/>
      <c r="S16" s="20">
        <v>5</v>
      </c>
      <c r="T16" s="10"/>
      <c r="U16" s="10"/>
      <c r="V16" s="10"/>
      <c r="W16" s="10"/>
      <c r="X16" s="10"/>
      <c r="Y16" s="10"/>
      <c r="Z16" s="10"/>
      <c r="AA16" s="10"/>
    </row>
    <row r="17" spans="2:27" ht="15.75" thickBot="1" x14ac:dyDescent="0.3">
      <c r="B17" s="12">
        <v>13</v>
      </c>
      <c r="C17" s="12" t="s">
        <v>93</v>
      </c>
      <c r="D17" s="13">
        <v>46107</v>
      </c>
      <c r="E17" s="13">
        <v>46109</v>
      </c>
      <c r="F17" s="12">
        <v>3</v>
      </c>
      <c r="G17" s="12"/>
      <c r="H17" s="12"/>
      <c r="I17" s="12"/>
      <c r="J17" s="12"/>
      <c r="K17" s="12"/>
      <c r="L17" s="12"/>
      <c r="M17" s="12"/>
      <c r="N17" s="12"/>
      <c r="O17" s="12"/>
      <c r="P17" s="21">
        <v>5</v>
      </c>
      <c r="Q17" s="12"/>
      <c r="R17" s="12"/>
      <c r="S17" s="21">
        <v>5</v>
      </c>
      <c r="T17" s="12"/>
      <c r="U17" s="12"/>
      <c r="V17" s="12"/>
      <c r="W17" s="12"/>
      <c r="X17" s="12"/>
      <c r="Y17" s="12"/>
      <c r="Z17" s="12"/>
      <c r="AA17" s="12"/>
    </row>
    <row r="18" spans="2:27" x14ac:dyDescent="0.25">
      <c r="B18" s="14">
        <v>1</v>
      </c>
      <c r="C18" s="14" t="s">
        <v>94</v>
      </c>
      <c r="D18" s="15">
        <v>46110</v>
      </c>
      <c r="E18" s="15">
        <v>46116</v>
      </c>
      <c r="F18" s="14">
        <v>7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2:27" x14ac:dyDescent="0.25">
      <c r="B19" s="10">
        <v>2</v>
      </c>
      <c r="C19" s="10" t="s">
        <v>95</v>
      </c>
      <c r="D19" s="11">
        <v>46117</v>
      </c>
      <c r="E19" s="11">
        <v>46123</v>
      </c>
      <c r="F19" s="10">
        <v>7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2:27" x14ac:dyDescent="0.25">
      <c r="B20" s="10">
        <v>3</v>
      </c>
      <c r="C20" s="10" t="s">
        <v>95</v>
      </c>
      <c r="D20" s="11">
        <v>46124</v>
      </c>
      <c r="E20" s="11">
        <v>46130</v>
      </c>
      <c r="F20" s="10">
        <v>7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2:27" x14ac:dyDescent="0.25">
      <c r="B21" s="10">
        <v>4</v>
      </c>
      <c r="C21" s="10" t="s">
        <v>95</v>
      </c>
      <c r="D21" s="11">
        <v>46131</v>
      </c>
      <c r="E21" s="11">
        <v>46137</v>
      </c>
      <c r="F21" s="10">
        <v>7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2:27" x14ac:dyDescent="0.25">
      <c r="B22" s="10">
        <v>5</v>
      </c>
      <c r="C22" s="10" t="s">
        <v>95</v>
      </c>
      <c r="D22" s="11">
        <v>46138</v>
      </c>
      <c r="E22" s="11">
        <v>46144</v>
      </c>
      <c r="F22" s="10">
        <v>7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2:27" x14ac:dyDescent="0.25">
      <c r="B23" s="10">
        <v>6</v>
      </c>
      <c r="C23" s="10" t="s">
        <v>95</v>
      </c>
      <c r="D23" s="11">
        <v>46145</v>
      </c>
      <c r="E23" s="11">
        <v>46151</v>
      </c>
      <c r="F23" s="10">
        <v>7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2:27" x14ac:dyDescent="0.25">
      <c r="B24" s="10">
        <v>7</v>
      </c>
      <c r="C24" s="10" t="s">
        <v>95</v>
      </c>
      <c r="D24" s="11">
        <v>46152</v>
      </c>
      <c r="E24" s="11">
        <v>46158</v>
      </c>
      <c r="F24" s="10">
        <v>7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2:27" x14ac:dyDescent="0.25">
      <c r="B25" s="10">
        <v>8</v>
      </c>
      <c r="C25" s="10" t="s">
        <v>95</v>
      </c>
      <c r="D25" s="11">
        <v>46159</v>
      </c>
      <c r="E25" s="11">
        <v>46165</v>
      </c>
      <c r="F25" s="10">
        <v>7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2:27" x14ac:dyDescent="0.25">
      <c r="B26" s="10">
        <v>9</v>
      </c>
      <c r="C26" s="10" t="s">
        <v>95</v>
      </c>
      <c r="D26" s="11">
        <v>46166</v>
      </c>
      <c r="E26" s="11">
        <v>46172</v>
      </c>
      <c r="F26" s="10">
        <v>7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2:27" x14ac:dyDescent="0.25">
      <c r="B27" s="10">
        <v>10</v>
      </c>
      <c r="C27" s="10" t="s">
        <v>95</v>
      </c>
      <c r="D27" s="11">
        <v>46173</v>
      </c>
      <c r="E27" s="11">
        <v>46179</v>
      </c>
      <c r="F27" s="10">
        <v>7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2:27" x14ac:dyDescent="0.25">
      <c r="B28" s="10">
        <v>11</v>
      </c>
      <c r="C28" s="10" t="s">
        <v>95</v>
      </c>
      <c r="D28" s="11">
        <v>46180</v>
      </c>
      <c r="E28" s="11">
        <v>46186</v>
      </c>
      <c r="F28" s="10">
        <v>7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2:27" x14ac:dyDescent="0.25">
      <c r="B29" s="10">
        <v>12</v>
      </c>
      <c r="C29" s="10" t="s">
        <v>95</v>
      </c>
      <c r="D29" s="11">
        <v>46187</v>
      </c>
      <c r="E29" s="11">
        <v>46193</v>
      </c>
      <c r="F29" s="10">
        <v>7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2:27" ht="15.75" thickBot="1" x14ac:dyDescent="0.3">
      <c r="B30" s="12">
        <v>13</v>
      </c>
      <c r="C30" s="12" t="s">
        <v>96</v>
      </c>
      <c r="D30" s="13">
        <v>46194</v>
      </c>
      <c r="E30" s="13">
        <v>46201</v>
      </c>
      <c r="F30" s="12">
        <v>8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2:27" x14ac:dyDescent="0.25">
      <c r="B31" s="14">
        <v>1</v>
      </c>
      <c r="C31" s="14" t="s">
        <v>97</v>
      </c>
      <c r="D31" s="15">
        <v>46202</v>
      </c>
      <c r="E31" s="15">
        <v>46208</v>
      </c>
      <c r="F31" s="14">
        <v>7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2:27" x14ac:dyDescent="0.25">
      <c r="B32" s="10">
        <v>2</v>
      </c>
      <c r="C32" s="10" t="s">
        <v>98</v>
      </c>
      <c r="D32" s="11">
        <v>46209</v>
      </c>
      <c r="E32" s="11">
        <v>46215</v>
      </c>
      <c r="F32" s="10">
        <v>7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2:27" x14ac:dyDescent="0.25">
      <c r="B33" s="10">
        <v>3</v>
      </c>
      <c r="C33" s="10" t="s">
        <v>98</v>
      </c>
      <c r="D33" s="11">
        <v>46216</v>
      </c>
      <c r="E33" s="11">
        <v>46222</v>
      </c>
      <c r="F33" s="10">
        <v>7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2:27" x14ac:dyDescent="0.25">
      <c r="B34" s="10">
        <v>4</v>
      </c>
      <c r="C34" s="10" t="s">
        <v>98</v>
      </c>
      <c r="D34" s="11">
        <v>46223</v>
      </c>
      <c r="E34" s="11">
        <v>46229</v>
      </c>
      <c r="F34" s="10">
        <v>7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2:27" x14ac:dyDescent="0.25">
      <c r="B35" s="10">
        <v>5</v>
      </c>
      <c r="C35" s="10" t="s">
        <v>98</v>
      </c>
      <c r="D35" s="11">
        <v>46230</v>
      </c>
      <c r="E35" s="11">
        <v>46236</v>
      </c>
      <c r="F35" s="10">
        <v>7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2:27" x14ac:dyDescent="0.25">
      <c r="B36" s="10">
        <v>6</v>
      </c>
      <c r="C36" s="10" t="s">
        <v>98</v>
      </c>
      <c r="D36" s="11">
        <v>46237</v>
      </c>
      <c r="E36" s="11">
        <v>46243</v>
      </c>
      <c r="F36" s="10">
        <v>7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2:27" x14ac:dyDescent="0.25">
      <c r="B37" s="10">
        <v>7</v>
      </c>
      <c r="C37" s="10" t="s">
        <v>98</v>
      </c>
      <c r="D37" s="11">
        <v>46244</v>
      </c>
      <c r="E37" s="11">
        <v>46250</v>
      </c>
      <c r="F37" s="10">
        <v>7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2:27" x14ac:dyDescent="0.25">
      <c r="B38" s="10">
        <v>8</v>
      </c>
      <c r="C38" s="10" t="s">
        <v>98</v>
      </c>
      <c r="D38" s="11">
        <v>46251</v>
      </c>
      <c r="E38" s="11">
        <v>46257</v>
      </c>
      <c r="F38" s="10">
        <v>7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2:27" x14ac:dyDescent="0.25">
      <c r="B39" s="10">
        <v>9</v>
      </c>
      <c r="C39" s="10" t="s">
        <v>98</v>
      </c>
      <c r="D39" s="11">
        <v>46258</v>
      </c>
      <c r="E39" s="11">
        <v>46264</v>
      </c>
      <c r="F39" s="10">
        <v>7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2:27" x14ac:dyDescent="0.25">
      <c r="B40" s="10">
        <v>10</v>
      </c>
      <c r="C40" s="10" t="s">
        <v>98</v>
      </c>
      <c r="D40" s="11">
        <v>46265</v>
      </c>
      <c r="E40" s="11">
        <v>46271</v>
      </c>
      <c r="F40" s="10">
        <v>7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2:27" x14ac:dyDescent="0.25">
      <c r="B41" s="10">
        <v>11</v>
      </c>
      <c r="C41" s="10" t="s">
        <v>98</v>
      </c>
      <c r="D41" s="11">
        <v>46272</v>
      </c>
      <c r="E41" s="11">
        <v>46278</v>
      </c>
      <c r="F41" s="10">
        <v>7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2:27" x14ac:dyDescent="0.25">
      <c r="B42" s="10">
        <v>12</v>
      </c>
      <c r="C42" s="10" t="s">
        <v>98</v>
      </c>
      <c r="D42" s="11">
        <v>46279</v>
      </c>
      <c r="E42" s="11">
        <v>46285</v>
      </c>
      <c r="F42" s="10">
        <v>7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2:27" ht="15.75" thickBot="1" x14ac:dyDescent="0.3">
      <c r="B43" s="12">
        <v>13</v>
      </c>
      <c r="C43" s="12" t="s">
        <v>99</v>
      </c>
      <c r="D43" s="13">
        <v>46286</v>
      </c>
      <c r="E43" s="13">
        <v>46293</v>
      </c>
      <c r="F43" s="12">
        <v>8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2:27" x14ac:dyDescent="0.25">
      <c r="B44" s="8">
        <v>1</v>
      </c>
      <c r="C44" s="8" t="s">
        <v>100</v>
      </c>
      <c r="D44" s="9">
        <v>46294</v>
      </c>
      <c r="E44" s="9">
        <v>46300</v>
      </c>
      <c r="F44" s="8">
        <v>7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2:27" x14ac:dyDescent="0.25">
      <c r="B45" s="8">
        <v>2</v>
      </c>
      <c r="C45" s="8" t="s">
        <v>101</v>
      </c>
      <c r="D45" s="9">
        <v>46301</v>
      </c>
      <c r="E45" s="9">
        <v>46307</v>
      </c>
      <c r="F45" s="8">
        <v>7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10"/>
      <c r="AA45" s="8"/>
    </row>
    <row r="46" spans="2:27" x14ac:dyDescent="0.25">
      <c r="B46" s="10">
        <v>3</v>
      </c>
      <c r="C46" s="10" t="s">
        <v>101</v>
      </c>
      <c r="D46" s="11">
        <v>46308</v>
      </c>
      <c r="E46" s="11">
        <v>46314</v>
      </c>
      <c r="F46" s="10">
        <v>7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2:27" x14ac:dyDescent="0.25">
      <c r="B47" s="10">
        <v>4</v>
      </c>
      <c r="C47" s="10" t="s">
        <v>101</v>
      </c>
      <c r="D47" s="11">
        <v>46315</v>
      </c>
      <c r="E47" s="11">
        <v>46321</v>
      </c>
      <c r="F47" s="10">
        <v>7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2:27" x14ac:dyDescent="0.25">
      <c r="B48" s="10">
        <v>5</v>
      </c>
      <c r="C48" s="10" t="s">
        <v>101</v>
      </c>
      <c r="D48" s="11">
        <v>46322</v>
      </c>
      <c r="E48" s="11">
        <v>46328</v>
      </c>
      <c r="F48" s="10">
        <v>7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2:27" x14ac:dyDescent="0.25">
      <c r="B49" s="10">
        <v>6</v>
      </c>
      <c r="C49" s="10" t="s">
        <v>101</v>
      </c>
      <c r="D49" s="11">
        <v>46329</v>
      </c>
      <c r="E49" s="11">
        <v>46335</v>
      </c>
      <c r="F49" s="10">
        <v>7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2:27" x14ac:dyDescent="0.25">
      <c r="B50" s="10">
        <v>7</v>
      </c>
      <c r="C50" s="10" t="s">
        <v>101</v>
      </c>
      <c r="D50" s="11">
        <v>46336</v>
      </c>
      <c r="E50" s="11">
        <v>46342</v>
      </c>
      <c r="F50" s="10">
        <v>7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2:27" x14ac:dyDescent="0.25">
      <c r="B51" s="10">
        <v>8</v>
      </c>
      <c r="C51" s="10" t="s">
        <v>101</v>
      </c>
      <c r="D51" s="11">
        <v>46343</v>
      </c>
      <c r="E51" s="11">
        <v>46349</v>
      </c>
      <c r="F51" s="10">
        <v>7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2:27" x14ac:dyDescent="0.25">
      <c r="B52" s="10">
        <v>9</v>
      </c>
      <c r="C52" s="10" t="s">
        <v>101</v>
      </c>
      <c r="D52" s="11">
        <v>46350</v>
      </c>
      <c r="E52" s="11">
        <v>46356</v>
      </c>
      <c r="F52" s="10">
        <v>7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2:27" x14ac:dyDescent="0.25">
      <c r="B53" s="10">
        <v>10</v>
      </c>
      <c r="C53" s="10" t="s">
        <v>101</v>
      </c>
      <c r="D53" s="11">
        <v>46357</v>
      </c>
      <c r="E53" s="11">
        <v>46363</v>
      </c>
      <c r="F53" s="10">
        <v>7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2:27" x14ac:dyDescent="0.25">
      <c r="B54" s="10">
        <v>11</v>
      </c>
      <c r="C54" s="10" t="s">
        <v>101</v>
      </c>
      <c r="D54" s="11">
        <v>46364</v>
      </c>
      <c r="E54" s="11">
        <v>46370</v>
      </c>
      <c r="F54" s="10">
        <v>7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2:27" x14ac:dyDescent="0.25">
      <c r="B55" s="10">
        <v>12</v>
      </c>
      <c r="C55" s="10" t="s">
        <v>101</v>
      </c>
      <c r="D55" s="11">
        <v>46371</v>
      </c>
      <c r="E55" s="11">
        <v>46377</v>
      </c>
      <c r="F55" s="10">
        <v>7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2:27" ht="15.75" thickBot="1" x14ac:dyDescent="0.3">
      <c r="B56" s="12">
        <v>13</v>
      </c>
      <c r="C56" s="12" t="s">
        <v>102</v>
      </c>
      <c r="D56" s="13">
        <v>46378</v>
      </c>
      <c r="E56" s="13">
        <v>46387</v>
      </c>
      <c r="F56" s="12">
        <v>10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2:27" x14ac:dyDescent="0.25"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</sheetData>
  <mergeCells count="1">
    <mergeCell ref="B2:AA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7C30814-4D8F-4D54-8C77-B78C3E338BC2}">
          <x14:formula1>
            <xm:f>'Datos de la hoja'!$B$2:$B$4</xm:f>
          </x14:formula1>
          <xm:sqref>Z5:Z56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DA6CC-D6EF-4050-9B5E-7048B0A1FA7B}">
  <dimension ref="B1:AB57"/>
  <sheetViews>
    <sheetView showGridLines="0" topLeftCell="K1" zoomScale="115" zoomScaleNormal="115" workbookViewId="0">
      <selection activeCell="L5" sqref="L5"/>
    </sheetView>
  </sheetViews>
  <sheetFormatPr baseColWidth="10" defaultRowHeight="15" x14ac:dyDescent="0.25"/>
  <cols>
    <col min="1" max="1" width="10.140625" customWidth="1"/>
    <col min="2" max="2" width="9.28515625" bestFit="1" customWidth="1"/>
    <col min="3" max="3" width="18.140625" bestFit="1" customWidth="1"/>
    <col min="4" max="4" width="12.85546875" bestFit="1" customWidth="1"/>
    <col min="5" max="5" width="12.42578125" bestFit="1" customWidth="1"/>
    <col min="6" max="6" width="15.85546875" bestFit="1" customWidth="1"/>
    <col min="7" max="7" width="15.7109375" bestFit="1" customWidth="1"/>
    <col min="8" max="8" width="36.28515625" bestFit="1" customWidth="1"/>
    <col min="9" max="9" width="13.5703125" bestFit="1" customWidth="1"/>
    <col min="10" max="10" width="28.5703125" bestFit="1" customWidth="1"/>
    <col min="11" max="11" width="25.28515625" bestFit="1" customWidth="1"/>
    <col min="12" max="12" width="13.85546875" bestFit="1" customWidth="1"/>
    <col min="13" max="13" width="137.42578125" bestFit="1" customWidth="1"/>
    <col min="14" max="14" width="15.5703125" bestFit="1" customWidth="1"/>
    <col min="15" max="15" width="12" bestFit="1" customWidth="1"/>
    <col min="16" max="16" width="14.5703125" bestFit="1" customWidth="1"/>
    <col min="17" max="17" width="10" bestFit="1" customWidth="1"/>
    <col min="18" max="18" width="17.42578125" bestFit="1" customWidth="1"/>
    <col min="19" max="19" width="14.42578125" bestFit="1" customWidth="1"/>
    <col min="20" max="20" width="17.42578125" bestFit="1" customWidth="1"/>
    <col min="21" max="21" width="12.140625" bestFit="1" customWidth="1"/>
    <col min="22" max="22" width="16.42578125" bestFit="1" customWidth="1"/>
    <col min="23" max="23" width="14" bestFit="1" customWidth="1"/>
    <col min="24" max="24" width="11.42578125" bestFit="1" customWidth="1"/>
    <col min="25" max="25" width="15.28515625" bestFit="1" customWidth="1"/>
    <col min="26" max="26" width="16.7109375" bestFit="1" customWidth="1"/>
    <col min="27" max="27" width="23.42578125" bestFit="1" customWidth="1"/>
    <col min="28" max="28" width="130.5703125" bestFit="1" customWidth="1"/>
  </cols>
  <sheetData>
    <row r="1" spans="2:28" ht="15.75" thickBot="1" x14ac:dyDescent="0.3"/>
    <row r="2" spans="2:28" ht="30.75" thickBot="1" x14ac:dyDescent="0.45">
      <c r="B2" s="31" t="s">
        <v>16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3"/>
    </row>
    <row r="4" spans="2:28" x14ac:dyDescent="0.25">
      <c r="B4" s="7" t="s">
        <v>71</v>
      </c>
      <c r="C4" s="7" t="s">
        <v>72</v>
      </c>
      <c r="D4" s="7" t="s">
        <v>73</v>
      </c>
      <c r="E4" s="7" t="s">
        <v>74</v>
      </c>
      <c r="F4" s="7" t="s">
        <v>75</v>
      </c>
      <c r="G4" s="7" t="s">
        <v>0</v>
      </c>
      <c r="H4" s="7" t="s">
        <v>76</v>
      </c>
      <c r="I4" s="7" t="s">
        <v>2</v>
      </c>
      <c r="J4" s="7" t="s">
        <v>3</v>
      </c>
      <c r="K4" s="7" t="s">
        <v>4</v>
      </c>
      <c r="L4" s="7" t="s">
        <v>77</v>
      </c>
      <c r="M4" s="7" t="s">
        <v>78</v>
      </c>
      <c r="N4" s="7" t="s">
        <v>133</v>
      </c>
      <c r="O4" s="7" t="s">
        <v>134</v>
      </c>
      <c r="P4" s="7" t="s">
        <v>79</v>
      </c>
      <c r="Q4" s="7" t="s">
        <v>195</v>
      </c>
      <c r="R4" s="7" t="s">
        <v>80</v>
      </c>
      <c r="S4" s="7" t="s">
        <v>81</v>
      </c>
      <c r="T4" s="7" t="s">
        <v>196</v>
      </c>
      <c r="U4" s="19" t="s">
        <v>138</v>
      </c>
      <c r="V4" s="19" t="s">
        <v>139</v>
      </c>
      <c r="W4" s="7" t="s">
        <v>82</v>
      </c>
      <c r="X4" s="7" t="s">
        <v>83</v>
      </c>
      <c r="Y4" s="7" t="s">
        <v>84</v>
      </c>
      <c r="Z4" s="7" t="s">
        <v>85</v>
      </c>
      <c r="AA4" s="7" t="s">
        <v>86</v>
      </c>
      <c r="AB4" s="7" t="s">
        <v>87</v>
      </c>
    </row>
    <row r="5" spans="2:28" x14ac:dyDescent="0.25">
      <c r="B5" s="10">
        <v>1</v>
      </c>
      <c r="C5" s="10" t="s">
        <v>91</v>
      </c>
      <c r="D5" s="11">
        <v>46023</v>
      </c>
      <c r="E5" s="11">
        <v>46029</v>
      </c>
      <c r="F5" s="10">
        <v>7</v>
      </c>
      <c r="G5" s="10" t="s">
        <v>10</v>
      </c>
      <c r="H5" s="10" t="s">
        <v>28</v>
      </c>
      <c r="I5" s="10" t="s">
        <v>110</v>
      </c>
      <c r="J5" s="10" t="s">
        <v>111</v>
      </c>
      <c r="K5" s="10" t="s">
        <v>112</v>
      </c>
      <c r="L5" s="10" t="s">
        <v>198</v>
      </c>
      <c r="M5" s="10" t="s">
        <v>152</v>
      </c>
      <c r="N5" s="10">
        <v>125</v>
      </c>
      <c r="O5" s="10">
        <v>2500</v>
      </c>
      <c r="P5" s="22">
        <f>N5/O5</f>
        <v>0.05</v>
      </c>
      <c r="Q5" s="22">
        <v>0.05</v>
      </c>
      <c r="R5" s="24">
        <f>P5/Q5</f>
        <v>1</v>
      </c>
      <c r="S5" s="10">
        <f>N5/U5</f>
        <v>25</v>
      </c>
      <c r="T5" s="10">
        <v>25</v>
      </c>
      <c r="U5" s="20">
        <v>5</v>
      </c>
      <c r="V5" s="20">
        <v>6</v>
      </c>
      <c r="W5" s="22">
        <f>V5/U5</f>
        <v>1.2</v>
      </c>
      <c r="X5" s="22">
        <f>IF(P5&gt;=Q5,1,P5/Q5)</f>
        <v>1</v>
      </c>
      <c r="Y5" s="22">
        <f>W5*X5</f>
        <v>1.2</v>
      </c>
      <c r="Z5" s="22">
        <f>S5/T5</f>
        <v>1</v>
      </c>
      <c r="AA5" s="10" t="s">
        <v>190</v>
      </c>
      <c r="AB5" s="10" t="s">
        <v>151</v>
      </c>
    </row>
    <row r="6" spans="2:28" x14ac:dyDescent="0.25">
      <c r="B6" s="10">
        <v>2</v>
      </c>
      <c r="C6" s="10" t="s">
        <v>92</v>
      </c>
      <c r="D6" s="11">
        <v>46030</v>
      </c>
      <c r="E6" s="11">
        <v>46036</v>
      </c>
      <c r="F6" s="10">
        <v>7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22">
        <v>0.05</v>
      </c>
      <c r="R6" s="10"/>
      <c r="S6" s="10"/>
      <c r="T6" s="10">
        <v>25</v>
      </c>
      <c r="U6" s="10"/>
      <c r="V6" s="10"/>
      <c r="W6" s="10"/>
      <c r="X6" s="10"/>
      <c r="Y6" s="10"/>
      <c r="Z6" s="10"/>
      <c r="AA6" s="10"/>
      <c r="AB6" s="10"/>
    </row>
    <row r="7" spans="2:28" x14ac:dyDescent="0.25">
      <c r="B7" s="10">
        <v>3</v>
      </c>
      <c r="C7" s="10" t="s">
        <v>92</v>
      </c>
      <c r="D7" s="11">
        <v>46037</v>
      </c>
      <c r="E7" s="11">
        <v>46043</v>
      </c>
      <c r="F7" s="10">
        <v>7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22">
        <v>0.05</v>
      </c>
      <c r="R7" s="10"/>
      <c r="S7" s="10"/>
      <c r="T7" s="10">
        <v>25</v>
      </c>
      <c r="U7" s="10"/>
      <c r="V7" s="10"/>
      <c r="W7" s="10"/>
      <c r="X7" s="10"/>
      <c r="Y7" s="10"/>
      <c r="Z7" s="10"/>
      <c r="AA7" s="10"/>
      <c r="AB7" s="10"/>
    </row>
    <row r="8" spans="2:28" x14ac:dyDescent="0.25">
      <c r="B8" s="10">
        <v>4</v>
      </c>
      <c r="C8" s="10" t="s">
        <v>92</v>
      </c>
      <c r="D8" s="11">
        <v>46044</v>
      </c>
      <c r="E8" s="11">
        <v>46050</v>
      </c>
      <c r="F8" s="10">
        <v>7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22">
        <v>0.05</v>
      </c>
      <c r="R8" s="10"/>
      <c r="S8" s="10"/>
      <c r="T8" s="10">
        <v>25</v>
      </c>
      <c r="U8" s="10"/>
      <c r="V8" s="10"/>
      <c r="W8" s="10"/>
      <c r="X8" s="10"/>
      <c r="Y8" s="10"/>
      <c r="Z8" s="10"/>
      <c r="AA8" s="10"/>
      <c r="AB8" s="10"/>
    </row>
    <row r="9" spans="2:28" x14ac:dyDescent="0.25">
      <c r="B9" s="10">
        <v>5</v>
      </c>
      <c r="C9" s="10" t="s">
        <v>92</v>
      </c>
      <c r="D9" s="11">
        <v>46051</v>
      </c>
      <c r="E9" s="11">
        <v>46057</v>
      </c>
      <c r="F9" s="10">
        <v>7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22">
        <v>0.05</v>
      </c>
      <c r="R9" s="10"/>
      <c r="S9" s="10"/>
      <c r="T9" s="10">
        <v>25</v>
      </c>
      <c r="U9" s="10"/>
      <c r="V9" s="10"/>
      <c r="W9" s="10"/>
      <c r="X9" s="10"/>
      <c r="Y9" s="10"/>
      <c r="Z9" s="10"/>
      <c r="AA9" s="10"/>
      <c r="AB9" s="10"/>
    </row>
    <row r="10" spans="2:28" x14ac:dyDescent="0.25">
      <c r="B10" s="10">
        <v>6</v>
      </c>
      <c r="C10" s="10" t="s">
        <v>92</v>
      </c>
      <c r="D10" s="11">
        <v>46058</v>
      </c>
      <c r="E10" s="11">
        <v>46064</v>
      </c>
      <c r="F10" s="10">
        <v>7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22">
        <v>0.05</v>
      </c>
      <c r="R10" s="10"/>
      <c r="S10" s="10"/>
      <c r="T10" s="10">
        <v>25</v>
      </c>
      <c r="U10" s="10"/>
      <c r="V10" s="10"/>
      <c r="W10" s="10"/>
      <c r="X10" s="10"/>
      <c r="Y10" s="10"/>
      <c r="Z10" s="10"/>
      <c r="AA10" s="10"/>
      <c r="AB10" s="10"/>
    </row>
    <row r="11" spans="2:28" x14ac:dyDescent="0.25">
      <c r="B11" s="10">
        <v>7</v>
      </c>
      <c r="C11" s="10" t="s">
        <v>92</v>
      </c>
      <c r="D11" s="11">
        <v>46065</v>
      </c>
      <c r="E11" s="11">
        <v>46071</v>
      </c>
      <c r="F11" s="10">
        <v>7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2">
        <v>0.05</v>
      </c>
      <c r="R11" s="10"/>
      <c r="S11" s="10"/>
      <c r="T11" s="10">
        <v>25</v>
      </c>
      <c r="U11" s="10"/>
      <c r="V11" s="10"/>
      <c r="W11" s="10"/>
      <c r="X11" s="10"/>
      <c r="Y11" s="10"/>
      <c r="Z11" s="10"/>
      <c r="AA11" s="10"/>
      <c r="AB11" s="10"/>
    </row>
    <row r="12" spans="2:28" x14ac:dyDescent="0.25">
      <c r="B12" s="10">
        <v>8</v>
      </c>
      <c r="C12" s="10" t="s">
        <v>92</v>
      </c>
      <c r="D12" s="11">
        <v>46072</v>
      </c>
      <c r="E12" s="11">
        <v>46078</v>
      </c>
      <c r="F12" s="10">
        <v>7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22">
        <v>0.05</v>
      </c>
      <c r="R12" s="10"/>
      <c r="S12" s="10"/>
      <c r="T12" s="10">
        <v>25</v>
      </c>
      <c r="U12" s="10"/>
      <c r="V12" s="10"/>
      <c r="W12" s="10"/>
      <c r="X12" s="10"/>
      <c r="Y12" s="10"/>
      <c r="Z12" s="10"/>
      <c r="AA12" s="10"/>
      <c r="AB12" s="10"/>
    </row>
    <row r="13" spans="2:28" x14ac:dyDescent="0.25">
      <c r="B13" s="10">
        <v>9</v>
      </c>
      <c r="C13" s="10" t="s">
        <v>92</v>
      </c>
      <c r="D13" s="11">
        <v>46079</v>
      </c>
      <c r="E13" s="11">
        <v>46085</v>
      </c>
      <c r="F13" s="10">
        <v>7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22">
        <v>0.05</v>
      </c>
      <c r="R13" s="10"/>
      <c r="S13" s="10"/>
      <c r="T13" s="10">
        <v>25</v>
      </c>
      <c r="U13" s="10"/>
      <c r="V13" s="10"/>
      <c r="W13" s="10"/>
      <c r="X13" s="10"/>
      <c r="Y13" s="10"/>
      <c r="Z13" s="10"/>
      <c r="AA13" s="10"/>
      <c r="AB13" s="10"/>
    </row>
    <row r="14" spans="2:28" x14ac:dyDescent="0.25">
      <c r="B14" s="10">
        <v>10</v>
      </c>
      <c r="C14" s="10" t="s">
        <v>92</v>
      </c>
      <c r="D14" s="11">
        <v>46086</v>
      </c>
      <c r="E14" s="11">
        <v>46092</v>
      </c>
      <c r="F14" s="10">
        <v>7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22">
        <v>0.05</v>
      </c>
      <c r="R14" s="10"/>
      <c r="S14" s="10"/>
      <c r="T14" s="10">
        <v>25</v>
      </c>
      <c r="U14" s="10"/>
      <c r="V14" s="10"/>
      <c r="W14" s="10"/>
      <c r="X14" s="10"/>
      <c r="Y14" s="10"/>
      <c r="Z14" s="10"/>
      <c r="AA14" s="10"/>
      <c r="AB14" s="10"/>
    </row>
    <row r="15" spans="2:28" x14ac:dyDescent="0.25">
      <c r="B15" s="10">
        <v>11</v>
      </c>
      <c r="C15" s="10" t="s">
        <v>92</v>
      </c>
      <c r="D15" s="11">
        <v>46093</v>
      </c>
      <c r="E15" s="11">
        <v>46099</v>
      </c>
      <c r="F15" s="10">
        <v>7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22">
        <v>0.05</v>
      </c>
      <c r="R15" s="10"/>
      <c r="S15" s="10"/>
      <c r="T15" s="10">
        <v>25</v>
      </c>
      <c r="U15" s="10"/>
      <c r="V15" s="10"/>
      <c r="W15" s="10"/>
      <c r="X15" s="10"/>
      <c r="Y15" s="10"/>
      <c r="Z15" s="10"/>
      <c r="AA15" s="10"/>
      <c r="AB15" s="10"/>
    </row>
    <row r="16" spans="2:28" x14ac:dyDescent="0.25">
      <c r="B16" s="10">
        <v>12</v>
      </c>
      <c r="C16" s="10" t="s">
        <v>92</v>
      </c>
      <c r="D16" s="11">
        <v>46100</v>
      </c>
      <c r="E16" s="11">
        <v>46106</v>
      </c>
      <c r="F16" s="10">
        <v>7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22">
        <v>0.05</v>
      </c>
      <c r="R16" s="10"/>
      <c r="S16" s="10"/>
      <c r="T16" s="10">
        <v>25</v>
      </c>
      <c r="U16" s="10"/>
      <c r="V16" s="10"/>
      <c r="W16" s="10"/>
      <c r="X16" s="10"/>
      <c r="Y16" s="10"/>
      <c r="Z16" s="10"/>
      <c r="AA16" s="10"/>
      <c r="AB16" s="10"/>
    </row>
    <row r="17" spans="2:28" ht="15.75" thickBot="1" x14ac:dyDescent="0.3">
      <c r="B17" s="12">
        <v>13</v>
      </c>
      <c r="C17" s="12" t="s">
        <v>93</v>
      </c>
      <c r="D17" s="13">
        <v>46107</v>
      </c>
      <c r="E17" s="13">
        <v>46109</v>
      </c>
      <c r="F17" s="12">
        <v>3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23">
        <v>0.05</v>
      </c>
      <c r="R17" s="12"/>
      <c r="S17" s="12"/>
      <c r="T17" s="12">
        <v>25</v>
      </c>
      <c r="U17" s="12"/>
      <c r="V17" s="12"/>
      <c r="W17" s="12"/>
      <c r="X17" s="12"/>
      <c r="Y17" s="12"/>
      <c r="Z17" s="12"/>
      <c r="AA17" s="12"/>
      <c r="AB17" s="12"/>
    </row>
    <row r="18" spans="2:28" x14ac:dyDescent="0.25">
      <c r="B18" s="8">
        <v>1</v>
      </c>
      <c r="C18" s="8" t="s">
        <v>94</v>
      </c>
      <c r="D18" s="9">
        <v>46110</v>
      </c>
      <c r="E18" s="9">
        <v>46116</v>
      </c>
      <c r="F18" s="8">
        <v>7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2:28" x14ac:dyDescent="0.25">
      <c r="B19" s="10">
        <v>2</v>
      </c>
      <c r="C19" s="10" t="s">
        <v>95</v>
      </c>
      <c r="D19" s="11">
        <v>46117</v>
      </c>
      <c r="E19" s="11">
        <v>46123</v>
      </c>
      <c r="F19" s="10">
        <v>7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2:28" x14ac:dyDescent="0.25">
      <c r="B20" s="10">
        <v>3</v>
      </c>
      <c r="C20" s="10" t="s">
        <v>95</v>
      </c>
      <c r="D20" s="11">
        <v>46124</v>
      </c>
      <c r="E20" s="11">
        <v>46130</v>
      </c>
      <c r="F20" s="10">
        <v>7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spans="2:28" x14ac:dyDescent="0.25">
      <c r="B21" s="10">
        <v>4</v>
      </c>
      <c r="C21" s="10" t="s">
        <v>95</v>
      </c>
      <c r="D21" s="11">
        <v>46131</v>
      </c>
      <c r="E21" s="11">
        <v>46137</v>
      </c>
      <c r="F21" s="10">
        <v>7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pans="2:28" x14ac:dyDescent="0.25">
      <c r="B22" s="10">
        <v>5</v>
      </c>
      <c r="C22" s="10" t="s">
        <v>95</v>
      </c>
      <c r="D22" s="11">
        <v>46138</v>
      </c>
      <c r="E22" s="11">
        <v>46144</v>
      </c>
      <c r="F22" s="10">
        <v>7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spans="2:28" x14ac:dyDescent="0.25">
      <c r="B23" s="10">
        <v>6</v>
      </c>
      <c r="C23" s="10" t="s">
        <v>95</v>
      </c>
      <c r="D23" s="11">
        <v>46145</v>
      </c>
      <c r="E23" s="11">
        <v>46151</v>
      </c>
      <c r="F23" s="10">
        <v>7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pans="2:28" x14ac:dyDescent="0.25">
      <c r="B24" s="10">
        <v>7</v>
      </c>
      <c r="C24" s="10" t="s">
        <v>95</v>
      </c>
      <c r="D24" s="11">
        <v>46152</v>
      </c>
      <c r="E24" s="11">
        <v>46158</v>
      </c>
      <c r="F24" s="10">
        <v>7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spans="2:28" x14ac:dyDescent="0.25">
      <c r="B25" s="10">
        <v>8</v>
      </c>
      <c r="C25" s="10" t="s">
        <v>95</v>
      </c>
      <c r="D25" s="11">
        <v>46159</v>
      </c>
      <c r="E25" s="11">
        <v>46165</v>
      </c>
      <c r="F25" s="10">
        <v>7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2:28" x14ac:dyDescent="0.25">
      <c r="B26" s="10">
        <v>9</v>
      </c>
      <c r="C26" s="10" t="s">
        <v>95</v>
      </c>
      <c r="D26" s="11">
        <v>46166</v>
      </c>
      <c r="E26" s="11">
        <v>46172</v>
      </c>
      <c r="F26" s="10">
        <v>7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2:28" x14ac:dyDescent="0.25">
      <c r="B27" s="10">
        <v>10</v>
      </c>
      <c r="C27" s="10" t="s">
        <v>95</v>
      </c>
      <c r="D27" s="11">
        <v>46173</v>
      </c>
      <c r="E27" s="11">
        <v>46179</v>
      </c>
      <c r="F27" s="10">
        <v>7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2:28" x14ac:dyDescent="0.25">
      <c r="B28" s="10">
        <v>11</v>
      </c>
      <c r="C28" s="10" t="s">
        <v>95</v>
      </c>
      <c r="D28" s="11">
        <v>46180</v>
      </c>
      <c r="E28" s="11">
        <v>46186</v>
      </c>
      <c r="F28" s="10">
        <v>7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2:28" x14ac:dyDescent="0.25">
      <c r="B29" s="10">
        <v>12</v>
      </c>
      <c r="C29" s="10" t="s">
        <v>95</v>
      </c>
      <c r="D29" s="11">
        <v>46187</v>
      </c>
      <c r="E29" s="11">
        <v>46193</v>
      </c>
      <c r="F29" s="10">
        <v>7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2:28" ht="15.75" thickBot="1" x14ac:dyDescent="0.3">
      <c r="B30" s="12">
        <v>13</v>
      </c>
      <c r="C30" s="12" t="s">
        <v>96</v>
      </c>
      <c r="D30" s="13">
        <v>46194</v>
      </c>
      <c r="E30" s="13">
        <v>46201</v>
      </c>
      <c r="F30" s="12">
        <v>8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 spans="2:28" x14ac:dyDescent="0.25">
      <c r="B31" s="8">
        <v>1</v>
      </c>
      <c r="C31" s="8" t="s">
        <v>97</v>
      </c>
      <c r="D31" s="9">
        <v>46202</v>
      </c>
      <c r="E31" s="9">
        <v>46208</v>
      </c>
      <c r="F31" s="8">
        <v>7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2:28" x14ac:dyDescent="0.25">
      <c r="B32" s="10">
        <v>2</v>
      </c>
      <c r="C32" s="10" t="s">
        <v>98</v>
      </c>
      <c r="D32" s="11">
        <v>46209</v>
      </c>
      <c r="E32" s="11">
        <v>46215</v>
      </c>
      <c r="F32" s="10">
        <v>7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2:28" x14ac:dyDescent="0.25">
      <c r="B33" s="10">
        <v>3</v>
      </c>
      <c r="C33" s="10" t="s">
        <v>98</v>
      </c>
      <c r="D33" s="11">
        <v>46216</v>
      </c>
      <c r="E33" s="11">
        <v>46222</v>
      </c>
      <c r="F33" s="10">
        <v>7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spans="2:28" x14ac:dyDescent="0.25">
      <c r="B34" s="10">
        <v>4</v>
      </c>
      <c r="C34" s="10" t="s">
        <v>98</v>
      </c>
      <c r="D34" s="11">
        <v>46223</v>
      </c>
      <c r="E34" s="11">
        <v>46229</v>
      </c>
      <c r="F34" s="10">
        <v>7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spans="2:28" x14ac:dyDescent="0.25">
      <c r="B35" s="10">
        <v>5</v>
      </c>
      <c r="C35" s="10" t="s">
        <v>98</v>
      </c>
      <c r="D35" s="11">
        <v>46230</v>
      </c>
      <c r="E35" s="11">
        <v>46236</v>
      </c>
      <c r="F35" s="10">
        <v>7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2:28" x14ac:dyDescent="0.25">
      <c r="B36" s="10">
        <v>6</v>
      </c>
      <c r="C36" s="10" t="s">
        <v>98</v>
      </c>
      <c r="D36" s="11">
        <v>46237</v>
      </c>
      <c r="E36" s="11">
        <v>46243</v>
      </c>
      <c r="F36" s="10">
        <v>7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spans="2:28" x14ac:dyDescent="0.25">
      <c r="B37" s="10">
        <v>7</v>
      </c>
      <c r="C37" s="10" t="s">
        <v>98</v>
      </c>
      <c r="D37" s="11">
        <v>46244</v>
      </c>
      <c r="E37" s="11">
        <v>46250</v>
      </c>
      <c r="F37" s="10">
        <v>7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spans="2:28" x14ac:dyDescent="0.25">
      <c r="B38" s="10">
        <v>8</v>
      </c>
      <c r="C38" s="10" t="s">
        <v>98</v>
      </c>
      <c r="D38" s="11">
        <v>46251</v>
      </c>
      <c r="E38" s="11">
        <v>46257</v>
      </c>
      <c r="F38" s="10">
        <v>7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2:28" x14ac:dyDescent="0.25">
      <c r="B39" s="10">
        <v>9</v>
      </c>
      <c r="C39" s="10" t="s">
        <v>98</v>
      </c>
      <c r="D39" s="11">
        <v>46258</v>
      </c>
      <c r="E39" s="11">
        <v>46264</v>
      </c>
      <c r="F39" s="10">
        <v>7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2:28" x14ac:dyDescent="0.25">
      <c r="B40" s="10">
        <v>10</v>
      </c>
      <c r="C40" s="10" t="s">
        <v>98</v>
      </c>
      <c r="D40" s="11">
        <v>46265</v>
      </c>
      <c r="E40" s="11">
        <v>46271</v>
      </c>
      <c r="F40" s="10">
        <v>7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2:28" x14ac:dyDescent="0.25">
      <c r="B41" s="10">
        <v>11</v>
      </c>
      <c r="C41" s="10" t="s">
        <v>98</v>
      </c>
      <c r="D41" s="11">
        <v>46272</v>
      </c>
      <c r="E41" s="11">
        <v>46278</v>
      </c>
      <c r="F41" s="10">
        <v>7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2:28" x14ac:dyDescent="0.25">
      <c r="B42" s="10">
        <v>12</v>
      </c>
      <c r="C42" s="10" t="s">
        <v>98</v>
      </c>
      <c r="D42" s="11">
        <v>46279</v>
      </c>
      <c r="E42" s="11">
        <v>46285</v>
      </c>
      <c r="F42" s="10">
        <v>7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2:28" ht="15.75" thickBot="1" x14ac:dyDescent="0.3">
      <c r="B43" s="12">
        <v>13</v>
      </c>
      <c r="C43" s="12" t="s">
        <v>99</v>
      </c>
      <c r="D43" s="13">
        <v>46286</v>
      </c>
      <c r="E43" s="13">
        <v>46293</v>
      </c>
      <c r="F43" s="12">
        <v>8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spans="2:28" x14ac:dyDescent="0.25">
      <c r="B44" s="8">
        <v>1</v>
      </c>
      <c r="C44" s="8" t="s">
        <v>100</v>
      </c>
      <c r="D44" s="9">
        <v>46294</v>
      </c>
      <c r="E44" s="9">
        <v>46300</v>
      </c>
      <c r="F44" s="8">
        <v>7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2:28" x14ac:dyDescent="0.25">
      <c r="B45" s="10">
        <v>2</v>
      </c>
      <c r="C45" s="10" t="s">
        <v>101</v>
      </c>
      <c r="D45" s="11">
        <v>46301</v>
      </c>
      <c r="E45" s="11">
        <v>46307</v>
      </c>
      <c r="F45" s="10">
        <v>7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spans="2:28" x14ac:dyDescent="0.25">
      <c r="B46" s="10">
        <v>3</v>
      </c>
      <c r="C46" s="10" t="s">
        <v>101</v>
      </c>
      <c r="D46" s="11">
        <v>46308</v>
      </c>
      <c r="E46" s="11">
        <v>46314</v>
      </c>
      <c r="F46" s="10">
        <v>7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spans="2:28" x14ac:dyDescent="0.25">
      <c r="B47" s="10">
        <v>4</v>
      </c>
      <c r="C47" s="10" t="s">
        <v>101</v>
      </c>
      <c r="D47" s="11">
        <v>46315</v>
      </c>
      <c r="E47" s="11">
        <v>46321</v>
      </c>
      <c r="F47" s="10">
        <v>7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spans="2:28" x14ac:dyDescent="0.25">
      <c r="B48" s="10">
        <v>5</v>
      </c>
      <c r="C48" s="10" t="s">
        <v>101</v>
      </c>
      <c r="D48" s="11">
        <v>46322</v>
      </c>
      <c r="E48" s="11">
        <v>46328</v>
      </c>
      <c r="F48" s="10">
        <v>7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spans="2:28" x14ac:dyDescent="0.25">
      <c r="B49" s="10">
        <v>6</v>
      </c>
      <c r="C49" s="10" t="s">
        <v>101</v>
      </c>
      <c r="D49" s="11">
        <v>46329</v>
      </c>
      <c r="E49" s="11">
        <v>46335</v>
      </c>
      <c r="F49" s="10">
        <v>7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spans="2:28" x14ac:dyDescent="0.25">
      <c r="B50" s="10">
        <v>7</v>
      </c>
      <c r="C50" s="10" t="s">
        <v>101</v>
      </c>
      <c r="D50" s="11">
        <v>46336</v>
      </c>
      <c r="E50" s="11">
        <v>46342</v>
      </c>
      <c r="F50" s="10">
        <v>7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spans="2:28" x14ac:dyDescent="0.25">
      <c r="B51" s="10">
        <v>8</v>
      </c>
      <c r="C51" s="10" t="s">
        <v>101</v>
      </c>
      <c r="D51" s="11">
        <v>46343</v>
      </c>
      <c r="E51" s="11">
        <v>46349</v>
      </c>
      <c r="F51" s="10">
        <v>7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spans="2:28" x14ac:dyDescent="0.25">
      <c r="B52" s="10">
        <v>9</v>
      </c>
      <c r="C52" s="10" t="s">
        <v>101</v>
      </c>
      <c r="D52" s="11">
        <v>46350</v>
      </c>
      <c r="E52" s="11">
        <v>46356</v>
      </c>
      <c r="F52" s="10">
        <v>7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spans="2:28" x14ac:dyDescent="0.25">
      <c r="B53" s="10">
        <v>10</v>
      </c>
      <c r="C53" s="10" t="s">
        <v>101</v>
      </c>
      <c r="D53" s="11">
        <v>46357</v>
      </c>
      <c r="E53" s="11">
        <v>46363</v>
      </c>
      <c r="F53" s="10">
        <v>7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spans="2:28" x14ac:dyDescent="0.25">
      <c r="B54" s="10">
        <v>11</v>
      </c>
      <c r="C54" s="10" t="s">
        <v>101</v>
      </c>
      <c r="D54" s="11">
        <v>46364</v>
      </c>
      <c r="E54" s="11">
        <v>46370</v>
      </c>
      <c r="F54" s="10">
        <v>7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spans="2:28" x14ac:dyDescent="0.25">
      <c r="B55" s="10">
        <v>12</v>
      </c>
      <c r="C55" s="10" t="s">
        <v>101</v>
      </c>
      <c r="D55" s="11">
        <v>46371</v>
      </c>
      <c r="E55" s="11">
        <v>46377</v>
      </c>
      <c r="F55" s="10">
        <v>7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spans="2:28" ht="15.75" thickBot="1" x14ac:dyDescent="0.3">
      <c r="B56" s="12">
        <v>13</v>
      </c>
      <c r="C56" s="12" t="s">
        <v>102</v>
      </c>
      <c r="D56" s="13">
        <v>46378</v>
      </c>
      <c r="E56" s="13">
        <v>46387</v>
      </c>
      <c r="F56" s="12">
        <v>10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spans="2:28" x14ac:dyDescent="0.25"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</sheetData>
  <mergeCells count="1">
    <mergeCell ref="B2:AB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C4378B7-1D06-4576-A6F2-69CD08A6830F}">
          <x14:formula1>
            <xm:f>'Datos de la hoja'!$B$2:$B$4</xm:f>
          </x14:formula1>
          <xm:sqref>AA5:AA56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0FA86-64E2-4FF2-A5A0-5BD800B6B117}">
  <dimension ref="B1:AB57"/>
  <sheetViews>
    <sheetView showGridLines="0" topLeftCell="K1" zoomScaleNormal="100" workbookViewId="0">
      <selection activeCell="L5" sqref="L5"/>
    </sheetView>
  </sheetViews>
  <sheetFormatPr baseColWidth="10" defaultRowHeight="15" x14ac:dyDescent="0.25"/>
  <cols>
    <col min="1" max="1" width="10.140625" customWidth="1"/>
    <col min="2" max="2" width="9.28515625" customWidth="1"/>
    <col min="3" max="3" width="18.140625" bestFit="1" customWidth="1"/>
    <col min="4" max="4" width="12.85546875" bestFit="1" customWidth="1"/>
    <col min="5" max="5" width="12.42578125" bestFit="1" customWidth="1"/>
    <col min="6" max="6" width="15.85546875" bestFit="1" customWidth="1"/>
    <col min="7" max="7" width="20" bestFit="1" customWidth="1"/>
    <col min="8" max="8" width="33.85546875" bestFit="1" customWidth="1"/>
    <col min="9" max="9" width="25.28515625" bestFit="1" customWidth="1"/>
    <col min="10" max="10" width="33.42578125" bestFit="1" customWidth="1"/>
    <col min="11" max="11" width="27.42578125" bestFit="1" customWidth="1"/>
    <col min="12" max="12" width="13.85546875" bestFit="1" customWidth="1"/>
    <col min="13" max="13" width="138.7109375" bestFit="1" customWidth="1"/>
    <col min="14" max="14" width="30.7109375" bestFit="1" customWidth="1"/>
    <col min="15" max="15" width="22.7109375" bestFit="1" customWidth="1"/>
    <col min="16" max="16" width="14.5703125" bestFit="1" customWidth="1"/>
    <col min="17" max="17" width="10" bestFit="1" customWidth="1"/>
    <col min="18" max="18" width="17.42578125" bestFit="1" customWidth="1"/>
    <col min="19" max="19" width="13.28515625" bestFit="1" customWidth="1"/>
    <col min="20" max="20" width="17.42578125" bestFit="1" customWidth="1"/>
    <col min="21" max="21" width="12.140625" bestFit="1" customWidth="1"/>
    <col min="22" max="22" width="18" bestFit="1" customWidth="1"/>
    <col min="23" max="23" width="14" bestFit="1" customWidth="1"/>
    <col min="24" max="24" width="12.42578125" bestFit="1" customWidth="1"/>
    <col min="25" max="25" width="14" bestFit="1" customWidth="1"/>
    <col min="26" max="26" width="16.7109375" bestFit="1" customWidth="1"/>
    <col min="27" max="27" width="23.42578125" bestFit="1" customWidth="1"/>
    <col min="28" max="28" width="146" bestFit="1" customWidth="1"/>
  </cols>
  <sheetData>
    <row r="1" spans="2:28" ht="15.75" thickBot="1" x14ac:dyDescent="0.3"/>
    <row r="2" spans="2:28" ht="30.75" thickBot="1" x14ac:dyDescent="0.45">
      <c r="B2" s="31" t="s">
        <v>16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3"/>
    </row>
    <row r="4" spans="2:28" x14ac:dyDescent="0.25">
      <c r="B4" s="7" t="s">
        <v>71</v>
      </c>
      <c r="C4" s="7" t="s">
        <v>72</v>
      </c>
      <c r="D4" s="7" t="s">
        <v>73</v>
      </c>
      <c r="E4" s="7" t="s">
        <v>74</v>
      </c>
      <c r="F4" s="7" t="s">
        <v>75</v>
      </c>
      <c r="G4" s="7" t="s">
        <v>0</v>
      </c>
      <c r="H4" s="7" t="s">
        <v>76</v>
      </c>
      <c r="I4" s="7" t="s">
        <v>2</v>
      </c>
      <c r="J4" s="7" t="s">
        <v>3</v>
      </c>
      <c r="K4" s="7" t="s">
        <v>4</v>
      </c>
      <c r="L4" s="7" t="s">
        <v>77</v>
      </c>
      <c r="M4" s="7" t="s">
        <v>78</v>
      </c>
      <c r="N4" s="7" t="s">
        <v>135</v>
      </c>
      <c r="O4" s="7" t="s">
        <v>153</v>
      </c>
      <c r="P4" s="7" t="s">
        <v>79</v>
      </c>
      <c r="Q4" s="7" t="s">
        <v>195</v>
      </c>
      <c r="R4" s="7" t="s">
        <v>80</v>
      </c>
      <c r="S4" s="7" t="s">
        <v>81</v>
      </c>
      <c r="T4" s="7" t="s">
        <v>196</v>
      </c>
      <c r="U4" s="19" t="s">
        <v>138</v>
      </c>
      <c r="V4" s="19" t="s">
        <v>139</v>
      </c>
      <c r="W4" s="7" t="s">
        <v>82</v>
      </c>
      <c r="X4" s="7" t="s">
        <v>83</v>
      </c>
      <c r="Y4" s="7" t="s">
        <v>84</v>
      </c>
      <c r="Z4" s="7" t="s">
        <v>85</v>
      </c>
      <c r="AA4" s="7" t="s">
        <v>86</v>
      </c>
      <c r="AB4" s="7" t="s">
        <v>87</v>
      </c>
    </row>
    <row r="5" spans="2:28" x14ac:dyDescent="0.25">
      <c r="B5" s="10">
        <v>1</v>
      </c>
      <c r="C5" s="10" t="s">
        <v>91</v>
      </c>
      <c r="D5" s="11">
        <v>46023</v>
      </c>
      <c r="E5" s="11">
        <v>46029</v>
      </c>
      <c r="F5" s="10">
        <v>7</v>
      </c>
      <c r="G5" s="10" t="s">
        <v>11</v>
      </c>
      <c r="H5" s="10" t="s">
        <v>135</v>
      </c>
      <c r="I5" s="10" t="s">
        <v>113</v>
      </c>
      <c r="J5" s="10" t="s">
        <v>114</v>
      </c>
      <c r="K5" s="10" t="s">
        <v>115</v>
      </c>
      <c r="L5" s="10" t="s">
        <v>198</v>
      </c>
      <c r="M5" s="10" t="s">
        <v>155</v>
      </c>
      <c r="N5" s="22">
        <v>1</v>
      </c>
      <c r="O5" s="25">
        <v>100</v>
      </c>
      <c r="P5" s="24">
        <f>N5</f>
        <v>1</v>
      </c>
      <c r="Q5" s="22">
        <v>0.9</v>
      </c>
      <c r="R5" s="22">
        <f>P5/Q5</f>
        <v>1.1111111111111112</v>
      </c>
      <c r="S5" s="25">
        <f>O5/U5</f>
        <v>20</v>
      </c>
      <c r="T5" s="26">
        <v>20</v>
      </c>
      <c r="U5" s="20">
        <v>5</v>
      </c>
      <c r="V5" s="20">
        <v>5</v>
      </c>
      <c r="W5" s="22">
        <f>V5/U5</f>
        <v>1</v>
      </c>
      <c r="X5" s="22">
        <f>IF(P5&gt;=Q5,1,P5/Q5)</f>
        <v>1</v>
      </c>
      <c r="Y5" s="22">
        <f>W5*X5</f>
        <v>1</v>
      </c>
      <c r="Z5" s="22">
        <f>S5/T5</f>
        <v>1</v>
      </c>
      <c r="AA5" s="10" t="s">
        <v>190</v>
      </c>
      <c r="AB5" s="10" t="s">
        <v>154</v>
      </c>
    </row>
    <row r="6" spans="2:28" x14ac:dyDescent="0.25">
      <c r="B6" s="10">
        <v>2</v>
      </c>
      <c r="C6" s="10" t="s">
        <v>92</v>
      </c>
      <c r="D6" s="11">
        <v>46030</v>
      </c>
      <c r="E6" s="11">
        <v>46036</v>
      </c>
      <c r="F6" s="10">
        <v>7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22">
        <v>0.9</v>
      </c>
      <c r="R6" s="10"/>
      <c r="S6" s="10"/>
      <c r="T6" s="26">
        <v>20</v>
      </c>
      <c r="U6" s="10"/>
      <c r="V6" s="10"/>
      <c r="W6" s="10"/>
      <c r="X6" s="10"/>
      <c r="Y6" s="10"/>
      <c r="Z6" s="10"/>
      <c r="AA6" s="10"/>
      <c r="AB6" s="10"/>
    </row>
    <row r="7" spans="2:28" x14ac:dyDescent="0.25">
      <c r="B7" s="10">
        <v>3</v>
      </c>
      <c r="C7" s="10" t="s">
        <v>92</v>
      </c>
      <c r="D7" s="11">
        <v>46037</v>
      </c>
      <c r="E7" s="11">
        <v>46043</v>
      </c>
      <c r="F7" s="10">
        <v>7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22">
        <v>0.9</v>
      </c>
      <c r="R7" s="10"/>
      <c r="S7" s="10"/>
      <c r="T7" s="26">
        <v>20</v>
      </c>
      <c r="U7" s="10"/>
      <c r="V7" s="10"/>
      <c r="W7" s="10"/>
      <c r="X7" s="10"/>
      <c r="Y7" s="10"/>
      <c r="Z7" s="10"/>
      <c r="AA7" s="10"/>
      <c r="AB7" s="10"/>
    </row>
    <row r="8" spans="2:28" x14ac:dyDescent="0.25">
      <c r="B8" s="10">
        <v>4</v>
      </c>
      <c r="C8" s="10" t="s">
        <v>92</v>
      </c>
      <c r="D8" s="11">
        <v>46044</v>
      </c>
      <c r="E8" s="11">
        <v>46050</v>
      </c>
      <c r="F8" s="10">
        <v>7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22">
        <v>0.9</v>
      </c>
      <c r="R8" s="10"/>
      <c r="S8" s="10"/>
      <c r="T8" s="26">
        <v>20</v>
      </c>
      <c r="U8" s="10"/>
      <c r="V8" s="10"/>
      <c r="W8" s="10"/>
      <c r="X8" s="10"/>
      <c r="Y8" s="10"/>
      <c r="Z8" s="10"/>
      <c r="AA8" s="10"/>
      <c r="AB8" s="10"/>
    </row>
    <row r="9" spans="2:28" x14ac:dyDescent="0.25">
      <c r="B9" s="10">
        <v>5</v>
      </c>
      <c r="C9" s="10" t="s">
        <v>92</v>
      </c>
      <c r="D9" s="11">
        <v>46051</v>
      </c>
      <c r="E9" s="11">
        <v>46057</v>
      </c>
      <c r="F9" s="10">
        <v>7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22">
        <v>0.9</v>
      </c>
      <c r="R9" s="10"/>
      <c r="S9" s="10"/>
      <c r="T9" s="26">
        <v>20</v>
      </c>
      <c r="U9" s="10"/>
      <c r="V9" s="10"/>
      <c r="W9" s="10"/>
      <c r="X9" s="10"/>
      <c r="Y9" s="10"/>
      <c r="Z9" s="10"/>
      <c r="AA9" s="10"/>
      <c r="AB9" s="10"/>
    </row>
    <row r="10" spans="2:28" x14ac:dyDescent="0.25">
      <c r="B10" s="10">
        <v>6</v>
      </c>
      <c r="C10" s="10" t="s">
        <v>92</v>
      </c>
      <c r="D10" s="11">
        <v>46058</v>
      </c>
      <c r="E10" s="11">
        <v>46064</v>
      </c>
      <c r="F10" s="10">
        <v>7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22">
        <v>0.9</v>
      </c>
      <c r="R10" s="10"/>
      <c r="S10" s="10"/>
      <c r="T10" s="26">
        <v>20</v>
      </c>
      <c r="U10" s="10"/>
      <c r="V10" s="10"/>
      <c r="W10" s="10"/>
      <c r="X10" s="10"/>
      <c r="Y10" s="10"/>
      <c r="Z10" s="10"/>
      <c r="AA10" s="10"/>
      <c r="AB10" s="10"/>
    </row>
    <row r="11" spans="2:28" x14ac:dyDescent="0.25">
      <c r="B11" s="10">
        <v>7</v>
      </c>
      <c r="C11" s="10" t="s">
        <v>92</v>
      </c>
      <c r="D11" s="11">
        <v>46065</v>
      </c>
      <c r="E11" s="11">
        <v>46071</v>
      </c>
      <c r="F11" s="10">
        <v>7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2">
        <v>0.9</v>
      </c>
      <c r="R11" s="10"/>
      <c r="S11" s="10"/>
      <c r="T11" s="26">
        <v>20</v>
      </c>
      <c r="U11" s="10"/>
      <c r="V11" s="10"/>
      <c r="W11" s="10"/>
      <c r="X11" s="10"/>
      <c r="Y11" s="10"/>
      <c r="Z11" s="10"/>
      <c r="AA11" s="10"/>
      <c r="AB11" s="10"/>
    </row>
    <row r="12" spans="2:28" x14ac:dyDescent="0.25">
      <c r="B12" s="10">
        <v>8</v>
      </c>
      <c r="C12" s="10" t="s">
        <v>92</v>
      </c>
      <c r="D12" s="11">
        <v>46072</v>
      </c>
      <c r="E12" s="11">
        <v>46078</v>
      </c>
      <c r="F12" s="10">
        <v>7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22">
        <v>0.9</v>
      </c>
      <c r="R12" s="10"/>
      <c r="S12" s="10"/>
      <c r="T12" s="26">
        <v>20</v>
      </c>
      <c r="U12" s="10"/>
      <c r="V12" s="10"/>
      <c r="W12" s="10"/>
      <c r="X12" s="10"/>
      <c r="Y12" s="10"/>
      <c r="Z12" s="10"/>
      <c r="AA12" s="10"/>
      <c r="AB12" s="10"/>
    </row>
    <row r="13" spans="2:28" x14ac:dyDescent="0.25">
      <c r="B13" s="10">
        <v>9</v>
      </c>
      <c r="C13" s="10" t="s">
        <v>92</v>
      </c>
      <c r="D13" s="11">
        <v>46079</v>
      </c>
      <c r="E13" s="11">
        <v>46085</v>
      </c>
      <c r="F13" s="10">
        <v>7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22">
        <v>0.9</v>
      </c>
      <c r="R13" s="10"/>
      <c r="S13" s="10"/>
      <c r="T13" s="26">
        <v>20</v>
      </c>
      <c r="U13" s="10"/>
      <c r="V13" s="10"/>
      <c r="W13" s="10"/>
      <c r="X13" s="10"/>
      <c r="Y13" s="10"/>
      <c r="Z13" s="10"/>
      <c r="AA13" s="10"/>
      <c r="AB13" s="10"/>
    </row>
    <row r="14" spans="2:28" x14ac:dyDescent="0.25">
      <c r="B14" s="10">
        <v>10</v>
      </c>
      <c r="C14" s="10" t="s">
        <v>92</v>
      </c>
      <c r="D14" s="11">
        <v>46086</v>
      </c>
      <c r="E14" s="11">
        <v>46092</v>
      </c>
      <c r="F14" s="10">
        <v>7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22">
        <v>0.9</v>
      </c>
      <c r="R14" s="10"/>
      <c r="S14" s="10"/>
      <c r="T14" s="26">
        <v>20</v>
      </c>
      <c r="U14" s="10"/>
      <c r="V14" s="10"/>
      <c r="W14" s="10"/>
      <c r="X14" s="10"/>
      <c r="Y14" s="10"/>
      <c r="Z14" s="10"/>
      <c r="AA14" s="10"/>
      <c r="AB14" s="10"/>
    </row>
    <row r="15" spans="2:28" x14ac:dyDescent="0.25">
      <c r="B15" s="10">
        <v>11</v>
      </c>
      <c r="C15" s="10" t="s">
        <v>92</v>
      </c>
      <c r="D15" s="11">
        <v>46093</v>
      </c>
      <c r="E15" s="11">
        <v>46099</v>
      </c>
      <c r="F15" s="10">
        <v>7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22">
        <v>0.9</v>
      </c>
      <c r="R15" s="10"/>
      <c r="S15" s="10"/>
      <c r="T15" s="26">
        <v>20</v>
      </c>
      <c r="U15" s="10"/>
      <c r="V15" s="10"/>
      <c r="W15" s="10"/>
      <c r="X15" s="10"/>
      <c r="Y15" s="10"/>
      <c r="Z15" s="10"/>
      <c r="AA15" s="10"/>
      <c r="AB15" s="10"/>
    </row>
    <row r="16" spans="2:28" x14ac:dyDescent="0.25">
      <c r="B16" s="10">
        <v>12</v>
      </c>
      <c r="C16" s="10" t="s">
        <v>92</v>
      </c>
      <c r="D16" s="11">
        <v>46100</v>
      </c>
      <c r="E16" s="11">
        <v>46106</v>
      </c>
      <c r="F16" s="10">
        <v>7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22">
        <v>0.9</v>
      </c>
      <c r="R16" s="10"/>
      <c r="S16" s="10"/>
      <c r="T16" s="26">
        <v>20</v>
      </c>
      <c r="U16" s="10"/>
      <c r="V16" s="10"/>
      <c r="W16" s="10"/>
      <c r="X16" s="10"/>
      <c r="Y16" s="10"/>
      <c r="Z16" s="10"/>
      <c r="AA16" s="10"/>
      <c r="AB16" s="10"/>
    </row>
    <row r="17" spans="2:28" ht="15.75" thickBot="1" x14ac:dyDescent="0.3">
      <c r="B17" s="12">
        <v>13</v>
      </c>
      <c r="C17" s="12" t="s">
        <v>93</v>
      </c>
      <c r="D17" s="13">
        <v>46107</v>
      </c>
      <c r="E17" s="13">
        <v>46109</v>
      </c>
      <c r="F17" s="12">
        <v>3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23">
        <v>0.9</v>
      </c>
      <c r="R17" s="12"/>
      <c r="S17" s="12"/>
      <c r="T17" s="27">
        <v>20</v>
      </c>
      <c r="U17" s="12"/>
      <c r="V17" s="12"/>
      <c r="W17" s="12"/>
      <c r="X17" s="12"/>
      <c r="Y17" s="12"/>
      <c r="Z17" s="12"/>
      <c r="AA17" s="12"/>
      <c r="AB17" s="12"/>
    </row>
    <row r="18" spans="2:28" x14ac:dyDescent="0.25">
      <c r="B18" s="8">
        <v>1</v>
      </c>
      <c r="C18" s="8" t="s">
        <v>94</v>
      </c>
      <c r="D18" s="9">
        <v>46110</v>
      </c>
      <c r="E18" s="9">
        <v>46116</v>
      </c>
      <c r="F18" s="8">
        <v>7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2:28" x14ac:dyDescent="0.25">
      <c r="B19" s="10">
        <v>2</v>
      </c>
      <c r="C19" s="10" t="s">
        <v>95</v>
      </c>
      <c r="D19" s="11">
        <v>46117</v>
      </c>
      <c r="E19" s="11">
        <v>46123</v>
      </c>
      <c r="F19" s="10">
        <v>7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2:28" x14ac:dyDescent="0.25">
      <c r="B20" s="10">
        <v>3</v>
      </c>
      <c r="C20" s="10" t="s">
        <v>95</v>
      </c>
      <c r="D20" s="11">
        <v>46124</v>
      </c>
      <c r="E20" s="11">
        <v>46130</v>
      </c>
      <c r="F20" s="10">
        <v>7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spans="2:28" x14ac:dyDescent="0.25">
      <c r="B21" s="10">
        <v>4</v>
      </c>
      <c r="C21" s="10" t="s">
        <v>95</v>
      </c>
      <c r="D21" s="11">
        <v>46131</v>
      </c>
      <c r="E21" s="11">
        <v>46137</v>
      </c>
      <c r="F21" s="10">
        <v>7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pans="2:28" x14ac:dyDescent="0.25">
      <c r="B22" s="10">
        <v>5</v>
      </c>
      <c r="C22" s="10" t="s">
        <v>95</v>
      </c>
      <c r="D22" s="11">
        <v>46138</v>
      </c>
      <c r="E22" s="11">
        <v>46144</v>
      </c>
      <c r="F22" s="10">
        <v>7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spans="2:28" x14ac:dyDescent="0.25">
      <c r="B23" s="10">
        <v>6</v>
      </c>
      <c r="C23" s="10" t="s">
        <v>95</v>
      </c>
      <c r="D23" s="11">
        <v>46145</v>
      </c>
      <c r="E23" s="11">
        <v>46151</v>
      </c>
      <c r="F23" s="10">
        <v>7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pans="2:28" x14ac:dyDescent="0.25">
      <c r="B24" s="10">
        <v>7</v>
      </c>
      <c r="C24" s="10" t="s">
        <v>95</v>
      </c>
      <c r="D24" s="11">
        <v>46152</v>
      </c>
      <c r="E24" s="11">
        <v>46158</v>
      </c>
      <c r="F24" s="10">
        <v>7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spans="2:28" x14ac:dyDescent="0.25">
      <c r="B25" s="10">
        <v>8</v>
      </c>
      <c r="C25" s="10" t="s">
        <v>95</v>
      </c>
      <c r="D25" s="11">
        <v>46159</v>
      </c>
      <c r="E25" s="11">
        <v>46165</v>
      </c>
      <c r="F25" s="10">
        <v>7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2:28" x14ac:dyDescent="0.25">
      <c r="B26" s="10">
        <v>9</v>
      </c>
      <c r="C26" s="10" t="s">
        <v>95</v>
      </c>
      <c r="D26" s="11">
        <v>46166</v>
      </c>
      <c r="E26" s="11">
        <v>46172</v>
      </c>
      <c r="F26" s="10">
        <v>7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2:28" x14ac:dyDescent="0.25">
      <c r="B27" s="10">
        <v>10</v>
      </c>
      <c r="C27" s="10" t="s">
        <v>95</v>
      </c>
      <c r="D27" s="11">
        <v>46173</v>
      </c>
      <c r="E27" s="11">
        <v>46179</v>
      </c>
      <c r="F27" s="10">
        <v>7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2:28" x14ac:dyDescent="0.25">
      <c r="B28" s="10">
        <v>11</v>
      </c>
      <c r="C28" s="10" t="s">
        <v>95</v>
      </c>
      <c r="D28" s="11">
        <v>46180</v>
      </c>
      <c r="E28" s="11">
        <v>46186</v>
      </c>
      <c r="F28" s="10">
        <v>7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2:28" x14ac:dyDescent="0.25">
      <c r="B29" s="10">
        <v>12</v>
      </c>
      <c r="C29" s="10" t="s">
        <v>95</v>
      </c>
      <c r="D29" s="11">
        <v>46187</v>
      </c>
      <c r="E29" s="11">
        <v>46193</v>
      </c>
      <c r="F29" s="10">
        <v>7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2:28" ht="15.75" thickBot="1" x14ac:dyDescent="0.3">
      <c r="B30" s="12">
        <v>13</v>
      </c>
      <c r="C30" s="12" t="s">
        <v>96</v>
      </c>
      <c r="D30" s="13">
        <v>46194</v>
      </c>
      <c r="E30" s="13">
        <v>46201</v>
      </c>
      <c r="F30" s="12">
        <v>8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 spans="2:28" x14ac:dyDescent="0.25">
      <c r="B31" s="8">
        <v>1</v>
      </c>
      <c r="C31" s="8" t="s">
        <v>97</v>
      </c>
      <c r="D31" s="9">
        <v>46202</v>
      </c>
      <c r="E31" s="9">
        <v>46208</v>
      </c>
      <c r="F31" s="8">
        <v>7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2:28" x14ac:dyDescent="0.25">
      <c r="B32" s="10">
        <v>2</v>
      </c>
      <c r="C32" s="10" t="s">
        <v>98</v>
      </c>
      <c r="D32" s="11">
        <v>46209</v>
      </c>
      <c r="E32" s="11">
        <v>46215</v>
      </c>
      <c r="F32" s="10">
        <v>7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2:28" x14ac:dyDescent="0.25">
      <c r="B33" s="10">
        <v>3</v>
      </c>
      <c r="C33" s="10" t="s">
        <v>98</v>
      </c>
      <c r="D33" s="11">
        <v>46216</v>
      </c>
      <c r="E33" s="11">
        <v>46222</v>
      </c>
      <c r="F33" s="10">
        <v>7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spans="2:28" x14ac:dyDescent="0.25">
      <c r="B34" s="10">
        <v>4</v>
      </c>
      <c r="C34" s="10" t="s">
        <v>98</v>
      </c>
      <c r="D34" s="11">
        <v>46223</v>
      </c>
      <c r="E34" s="11">
        <v>46229</v>
      </c>
      <c r="F34" s="10">
        <v>7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spans="2:28" x14ac:dyDescent="0.25">
      <c r="B35" s="10">
        <v>5</v>
      </c>
      <c r="C35" s="10" t="s">
        <v>98</v>
      </c>
      <c r="D35" s="11">
        <v>46230</v>
      </c>
      <c r="E35" s="11">
        <v>46236</v>
      </c>
      <c r="F35" s="10">
        <v>7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2:28" x14ac:dyDescent="0.25">
      <c r="B36" s="10">
        <v>6</v>
      </c>
      <c r="C36" s="10" t="s">
        <v>98</v>
      </c>
      <c r="D36" s="11">
        <v>46237</v>
      </c>
      <c r="E36" s="11">
        <v>46243</v>
      </c>
      <c r="F36" s="10">
        <v>7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spans="2:28" x14ac:dyDescent="0.25">
      <c r="B37" s="10">
        <v>7</v>
      </c>
      <c r="C37" s="10" t="s">
        <v>98</v>
      </c>
      <c r="D37" s="11">
        <v>46244</v>
      </c>
      <c r="E37" s="11">
        <v>46250</v>
      </c>
      <c r="F37" s="10">
        <v>7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spans="2:28" x14ac:dyDescent="0.25">
      <c r="B38" s="10">
        <v>8</v>
      </c>
      <c r="C38" s="10" t="s">
        <v>98</v>
      </c>
      <c r="D38" s="11">
        <v>46251</v>
      </c>
      <c r="E38" s="11">
        <v>46257</v>
      </c>
      <c r="F38" s="10">
        <v>7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2:28" x14ac:dyDescent="0.25">
      <c r="B39" s="10">
        <v>9</v>
      </c>
      <c r="C39" s="10" t="s">
        <v>98</v>
      </c>
      <c r="D39" s="11">
        <v>46258</v>
      </c>
      <c r="E39" s="11">
        <v>46264</v>
      </c>
      <c r="F39" s="10">
        <v>7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2:28" x14ac:dyDescent="0.25">
      <c r="B40" s="10">
        <v>10</v>
      </c>
      <c r="C40" s="10" t="s">
        <v>98</v>
      </c>
      <c r="D40" s="11">
        <v>46265</v>
      </c>
      <c r="E40" s="11">
        <v>46271</v>
      </c>
      <c r="F40" s="10">
        <v>7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2:28" x14ac:dyDescent="0.25">
      <c r="B41" s="10">
        <v>11</v>
      </c>
      <c r="C41" s="10" t="s">
        <v>98</v>
      </c>
      <c r="D41" s="11">
        <v>46272</v>
      </c>
      <c r="E41" s="11">
        <v>46278</v>
      </c>
      <c r="F41" s="10">
        <v>7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2:28" x14ac:dyDescent="0.25">
      <c r="B42" s="10">
        <v>12</v>
      </c>
      <c r="C42" s="10" t="s">
        <v>98</v>
      </c>
      <c r="D42" s="11">
        <v>46279</v>
      </c>
      <c r="E42" s="11">
        <v>46285</v>
      </c>
      <c r="F42" s="10">
        <v>7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2:28" ht="15.75" thickBot="1" x14ac:dyDescent="0.3">
      <c r="B43" s="12">
        <v>13</v>
      </c>
      <c r="C43" s="12" t="s">
        <v>99</v>
      </c>
      <c r="D43" s="13">
        <v>46286</v>
      </c>
      <c r="E43" s="13">
        <v>46293</v>
      </c>
      <c r="F43" s="12">
        <v>8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spans="2:28" x14ac:dyDescent="0.25">
      <c r="B44" s="8">
        <v>1</v>
      </c>
      <c r="C44" s="8" t="s">
        <v>100</v>
      </c>
      <c r="D44" s="9">
        <v>46294</v>
      </c>
      <c r="E44" s="9">
        <v>46300</v>
      </c>
      <c r="F44" s="8">
        <v>7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2:28" x14ac:dyDescent="0.25">
      <c r="B45" s="10">
        <v>2</v>
      </c>
      <c r="C45" s="10" t="s">
        <v>101</v>
      </c>
      <c r="D45" s="11">
        <v>46301</v>
      </c>
      <c r="E45" s="11">
        <v>46307</v>
      </c>
      <c r="F45" s="10">
        <v>7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spans="2:28" x14ac:dyDescent="0.25">
      <c r="B46" s="10">
        <v>3</v>
      </c>
      <c r="C46" s="10" t="s">
        <v>101</v>
      </c>
      <c r="D46" s="11">
        <v>46308</v>
      </c>
      <c r="E46" s="11">
        <v>46314</v>
      </c>
      <c r="F46" s="10">
        <v>7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spans="2:28" x14ac:dyDescent="0.25">
      <c r="B47" s="10">
        <v>4</v>
      </c>
      <c r="C47" s="10" t="s">
        <v>101</v>
      </c>
      <c r="D47" s="11">
        <v>46315</v>
      </c>
      <c r="E47" s="11">
        <v>46321</v>
      </c>
      <c r="F47" s="10">
        <v>7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spans="2:28" x14ac:dyDescent="0.25">
      <c r="B48" s="10">
        <v>5</v>
      </c>
      <c r="C48" s="10" t="s">
        <v>101</v>
      </c>
      <c r="D48" s="11">
        <v>46322</v>
      </c>
      <c r="E48" s="11">
        <v>46328</v>
      </c>
      <c r="F48" s="10">
        <v>7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spans="2:28" x14ac:dyDescent="0.25">
      <c r="B49" s="10">
        <v>6</v>
      </c>
      <c r="C49" s="10" t="s">
        <v>101</v>
      </c>
      <c r="D49" s="11">
        <v>46329</v>
      </c>
      <c r="E49" s="11">
        <v>46335</v>
      </c>
      <c r="F49" s="10">
        <v>7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spans="2:28" x14ac:dyDescent="0.25">
      <c r="B50" s="10">
        <v>7</v>
      </c>
      <c r="C50" s="10" t="s">
        <v>101</v>
      </c>
      <c r="D50" s="11">
        <v>46336</v>
      </c>
      <c r="E50" s="11">
        <v>46342</v>
      </c>
      <c r="F50" s="10">
        <v>7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spans="2:28" x14ac:dyDescent="0.25">
      <c r="B51" s="10">
        <v>8</v>
      </c>
      <c r="C51" s="10" t="s">
        <v>101</v>
      </c>
      <c r="D51" s="11">
        <v>46343</v>
      </c>
      <c r="E51" s="11">
        <v>46349</v>
      </c>
      <c r="F51" s="10">
        <v>7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spans="2:28" x14ac:dyDescent="0.25">
      <c r="B52" s="10">
        <v>9</v>
      </c>
      <c r="C52" s="10" t="s">
        <v>101</v>
      </c>
      <c r="D52" s="11">
        <v>46350</v>
      </c>
      <c r="E52" s="11">
        <v>46356</v>
      </c>
      <c r="F52" s="10">
        <v>7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spans="2:28" x14ac:dyDescent="0.25">
      <c r="B53" s="10">
        <v>10</v>
      </c>
      <c r="C53" s="10" t="s">
        <v>101</v>
      </c>
      <c r="D53" s="11">
        <v>46357</v>
      </c>
      <c r="E53" s="11">
        <v>46363</v>
      </c>
      <c r="F53" s="10">
        <v>7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spans="2:28" x14ac:dyDescent="0.25">
      <c r="B54" s="10">
        <v>11</v>
      </c>
      <c r="C54" s="10" t="s">
        <v>101</v>
      </c>
      <c r="D54" s="11">
        <v>46364</v>
      </c>
      <c r="E54" s="11">
        <v>46370</v>
      </c>
      <c r="F54" s="10">
        <v>7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spans="2:28" x14ac:dyDescent="0.25">
      <c r="B55" s="10">
        <v>12</v>
      </c>
      <c r="C55" s="10" t="s">
        <v>101</v>
      </c>
      <c r="D55" s="11">
        <v>46371</v>
      </c>
      <c r="E55" s="11">
        <v>46377</v>
      </c>
      <c r="F55" s="10">
        <v>7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spans="2:28" ht="15.75" thickBot="1" x14ac:dyDescent="0.3">
      <c r="B56" s="12">
        <v>13</v>
      </c>
      <c r="C56" s="12" t="s">
        <v>102</v>
      </c>
      <c r="D56" s="13">
        <v>46378</v>
      </c>
      <c r="E56" s="13">
        <v>46387</v>
      </c>
      <c r="F56" s="12">
        <v>10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spans="2:28" x14ac:dyDescent="0.25"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</sheetData>
  <mergeCells count="1">
    <mergeCell ref="B2:AB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92D7509-A13F-4591-A83A-18BD1C5C356B}">
          <x14:formula1>
            <xm:f>'Datos de la hoja'!$B$2:$B$4</xm:f>
          </x14:formula1>
          <xm:sqref>AA5:AA56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123CF-3F00-4404-8CEE-5B2CAAEF9DF5}">
  <dimension ref="B1:AB57"/>
  <sheetViews>
    <sheetView showGridLines="0" topLeftCell="L1" zoomScaleNormal="100" workbookViewId="0">
      <selection activeCell="L5" sqref="L5"/>
    </sheetView>
  </sheetViews>
  <sheetFormatPr baseColWidth="10" defaultRowHeight="15" x14ac:dyDescent="0.25"/>
  <cols>
    <col min="1" max="1" width="10.140625" customWidth="1"/>
    <col min="2" max="2" width="9.28515625" bestFit="1" customWidth="1"/>
    <col min="3" max="3" width="18.140625" bestFit="1" customWidth="1"/>
    <col min="4" max="4" width="12.85546875" bestFit="1" customWidth="1"/>
    <col min="5" max="5" width="12.42578125" bestFit="1" customWidth="1"/>
    <col min="6" max="6" width="15.85546875" bestFit="1" customWidth="1"/>
    <col min="7" max="7" width="24.28515625" bestFit="1" customWidth="1"/>
    <col min="8" max="8" width="46.5703125" bestFit="1" customWidth="1"/>
    <col min="9" max="9" width="9.140625" bestFit="1" customWidth="1"/>
    <col min="10" max="10" width="26.42578125" bestFit="1" customWidth="1"/>
    <col min="11" max="11" width="34.28515625" bestFit="1" customWidth="1"/>
    <col min="12" max="12" width="14" bestFit="1" customWidth="1"/>
    <col min="13" max="13" width="167.7109375" bestFit="1" customWidth="1"/>
    <col min="14" max="14" width="21.42578125" bestFit="1" customWidth="1"/>
    <col min="15" max="15" width="20.5703125" bestFit="1" customWidth="1"/>
    <col min="16" max="16" width="14.5703125" bestFit="1" customWidth="1"/>
    <col min="17" max="17" width="10" bestFit="1" customWidth="1"/>
    <col min="18" max="18" width="17.42578125" bestFit="1" customWidth="1"/>
    <col min="19" max="19" width="14.42578125" bestFit="1" customWidth="1"/>
    <col min="20" max="20" width="17.42578125" bestFit="1" customWidth="1"/>
    <col min="21" max="21" width="12.140625" bestFit="1" customWidth="1"/>
    <col min="22" max="22" width="18" bestFit="1" customWidth="1"/>
    <col min="23" max="23" width="14" bestFit="1" customWidth="1"/>
    <col min="24" max="24" width="12.42578125" bestFit="1" customWidth="1"/>
    <col min="25" max="25" width="15.28515625" bestFit="1" customWidth="1"/>
    <col min="26" max="26" width="16.7109375" bestFit="1" customWidth="1"/>
    <col min="27" max="27" width="23.42578125" bestFit="1" customWidth="1"/>
    <col min="28" max="28" width="115.7109375" bestFit="1" customWidth="1"/>
  </cols>
  <sheetData>
    <row r="1" spans="2:28" ht="15.75" thickBot="1" x14ac:dyDescent="0.3"/>
    <row r="2" spans="2:28" ht="30.75" thickBot="1" x14ac:dyDescent="0.45">
      <c r="B2" s="31" t="s">
        <v>16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3"/>
    </row>
    <row r="4" spans="2:28" x14ac:dyDescent="0.25">
      <c r="B4" s="7" t="s">
        <v>71</v>
      </c>
      <c r="C4" s="7" t="s">
        <v>72</v>
      </c>
      <c r="D4" s="7" t="s">
        <v>73</v>
      </c>
      <c r="E4" s="7" t="s">
        <v>74</v>
      </c>
      <c r="F4" s="7" t="s">
        <v>75</v>
      </c>
      <c r="G4" s="7" t="s">
        <v>0</v>
      </c>
      <c r="H4" s="7" t="s">
        <v>76</v>
      </c>
      <c r="I4" s="7" t="s">
        <v>2</v>
      </c>
      <c r="J4" s="7" t="s">
        <v>3</v>
      </c>
      <c r="K4" s="7" t="s">
        <v>4</v>
      </c>
      <c r="L4" s="7" t="s">
        <v>77</v>
      </c>
      <c r="M4" s="7" t="s">
        <v>78</v>
      </c>
      <c r="N4" s="7" t="s">
        <v>136</v>
      </c>
      <c r="O4" s="7" t="s">
        <v>137</v>
      </c>
      <c r="P4" s="7" t="s">
        <v>79</v>
      </c>
      <c r="Q4" s="7" t="s">
        <v>195</v>
      </c>
      <c r="R4" s="7" t="s">
        <v>80</v>
      </c>
      <c r="S4" s="7" t="s">
        <v>81</v>
      </c>
      <c r="T4" s="7" t="s">
        <v>196</v>
      </c>
      <c r="U4" s="19" t="s">
        <v>138</v>
      </c>
      <c r="V4" s="19" t="s">
        <v>139</v>
      </c>
      <c r="W4" s="7" t="s">
        <v>82</v>
      </c>
      <c r="X4" s="7" t="s">
        <v>83</v>
      </c>
      <c r="Y4" s="7" t="s">
        <v>84</v>
      </c>
      <c r="Z4" s="7" t="s">
        <v>85</v>
      </c>
      <c r="AA4" s="7" t="s">
        <v>86</v>
      </c>
      <c r="AB4" s="7" t="s">
        <v>87</v>
      </c>
    </row>
    <row r="5" spans="2:28" x14ac:dyDescent="0.25">
      <c r="B5" s="8">
        <v>1</v>
      </c>
      <c r="C5" s="8" t="s">
        <v>91</v>
      </c>
      <c r="D5" s="9">
        <v>46023</v>
      </c>
      <c r="E5" s="9">
        <v>46029</v>
      </c>
      <c r="F5" s="8">
        <v>7</v>
      </c>
      <c r="G5" s="10" t="s">
        <v>12</v>
      </c>
      <c r="H5" s="10" t="s">
        <v>32</v>
      </c>
      <c r="I5" s="10" t="s">
        <v>116</v>
      </c>
      <c r="J5" s="10" t="s">
        <v>117</v>
      </c>
      <c r="K5" s="10" t="s">
        <v>118</v>
      </c>
      <c r="L5" s="10" t="s">
        <v>198</v>
      </c>
      <c r="M5" s="10" t="s">
        <v>157</v>
      </c>
      <c r="N5" s="10">
        <v>25</v>
      </c>
      <c r="O5" s="10">
        <v>200</v>
      </c>
      <c r="P5" s="22">
        <f>N5/O5</f>
        <v>0.125</v>
      </c>
      <c r="Q5" s="22">
        <v>0.1</v>
      </c>
      <c r="R5" s="24">
        <f>P5/Q5</f>
        <v>1.25</v>
      </c>
      <c r="S5" s="20">
        <f>N5/U5</f>
        <v>5</v>
      </c>
      <c r="T5" s="20">
        <v>5</v>
      </c>
      <c r="U5" s="20">
        <v>5</v>
      </c>
      <c r="V5" s="20">
        <v>6</v>
      </c>
      <c r="W5" s="22">
        <f>V5/U5</f>
        <v>1.2</v>
      </c>
      <c r="X5" s="22">
        <f>IF(P5&gt;=Q5,1,P5/Q5)</f>
        <v>1</v>
      </c>
      <c r="Y5" s="22">
        <f>W5*X5</f>
        <v>1.2</v>
      </c>
      <c r="Z5" s="22">
        <f>S5/T5</f>
        <v>1</v>
      </c>
      <c r="AA5" s="10" t="s">
        <v>190</v>
      </c>
      <c r="AB5" s="10" t="s">
        <v>156</v>
      </c>
    </row>
    <row r="6" spans="2:28" x14ac:dyDescent="0.25">
      <c r="B6" s="10">
        <v>2</v>
      </c>
      <c r="C6" s="10" t="s">
        <v>92</v>
      </c>
      <c r="D6" s="11">
        <v>46030</v>
      </c>
      <c r="E6" s="11">
        <v>46036</v>
      </c>
      <c r="F6" s="10">
        <v>7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22">
        <v>0.1</v>
      </c>
      <c r="R6" s="10"/>
      <c r="S6" s="10"/>
      <c r="T6" s="20">
        <v>5</v>
      </c>
      <c r="U6" s="10"/>
      <c r="V6" s="10"/>
      <c r="W6" s="10"/>
      <c r="X6" s="10"/>
      <c r="Y6" s="10"/>
      <c r="Z6" s="10"/>
      <c r="AA6" s="10"/>
      <c r="AB6" s="10"/>
    </row>
    <row r="7" spans="2:28" x14ac:dyDescent="0.25">
      <c r="B7" s="10">
        <v>3</v>
      </c>
      <c r="C7" s="10" t="s">
        <v>92</v>
      </c>
      <c r="D7" s="11">
        <v>46037</v>
      </c>
      <c r="E7" s="11">
        <v>46043</v>
      </c>
      <c r="F7" s="10">
        <v>7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22">
        <v>0.1</v>
      </c>
      <c r="R7" s="10"/>
      <c r="S7" s="10"/>
      <c r="T7" s="20">
        <v>5</v>
      </c>
      <c r="U7" s="10"/>
      <c r="V7" s="10"/>
      <c r="W7" s="10"/>
      <c r="X7" s="10"/>
      <c r="Y7" s="10"/>
      <c r="Z7" s="10"/>
      <c r="AA7" s="10"/>
      <c r="AB7" s="10"/>
    </row>
    <row r="8" spans="2:28" x14ac:dyDescent="0.25">
      <c r="B8" s="10">
        <v>4</v>
      </c>
      <c r="C8" s="10" t="s">
        <v>92</v>
      </c>
      <c r="D8" s="11">
        <v>46044</v>
      </c>
      <c r="E8" s="11">
        <v>46050</v>
      </c>
      <c r="F8" s="10">
        <v>7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22">
        <v>0.1</v>
      </c>
      <c r="R8" s="10"/>
      <c r="S8" s="10"/>
      <c r="T8" s="20">
        <v>5</v>
      </c>
      <c r="U8" s="10"/>
      <c r="V8" s="10"/>
      <c r="W8" s="10"/>
      <c r="X8" s="10"/>
      <c r="Y8" s="10"/>
      <c r="Z8" s="10"/>
      <c r="AA8" s="10"/>
      <c r="AB8" s="10"/>
    </row>
    <row r="9" spans="2:28" x14ac:dyDescent="0.25">
      <c r="B9" s="10">
        <v>5</v>
      </c>
      <c r="C9" s="10" t="s">
        <v>92</v>
      </c>
      <c r="D9" s="11">
        <v>46051</v>
      </c>
      <c r="E9" s="11">
        <v>46057</v>
      </c>
      <c r="F9" s="10">
        <v>7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22">
        <v>0.1</v>
      </c>
      <c r="R9" s="10"/>
      <c r="S9" s="10"/>
      <c r="T9" s="20">
        <v>5</v>
      </c>
      <c r="U9" s="10"/>
      <c r="V9" s="10"/>
      <c r="W9" s="10"/>
      <c r="X9" s="10"/>
      <c r="Y9" s="10"/>
      <c r="Z9" s="10"/>
      <c r="AA9" s="10"/>
      <c r="AB9" s="10"/>
    </row>
    <row r="10" spans="2:28" x14ac:dyDescent="0.25">
      <c r="B10" s="10">
        <v>6</v>
      </c>
      <c r="C10" s="10" t="s">
        <v>92</v>
      </c>
      <c r="D10" s="11">
        <v>46058</v>
      </c>
      <c r="E10" s="11">
        <v>46064</v>
      </c>
      <c r="F10" s="10">
        <v>7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22">
        <v>0.1</v>
      </c>
      <c r="R10" s="10"/>
      <c r="S10" s="10"/>
      <c r="T10" s="20">
        <v>5</v>
      </c>
      <c r="U10" s="10"/>
      <c r="V10" s="10"/>
      <c r="W10" s="10"/>
      <c r="X10" s="10"/>
      <c r="Y10" s="10"/>
      <c r="Z10" s="10"/>
      <c r="AA10" s="10"/>
      <c r="AB10" s="10"/>
    </row>
    <row r="11" spans="2:28" x14ac:dyDescent="0.25">
      <c r="B11" s="10">
        <v>7</v>
      </c>
      <c r="C11" s="10" t="s">
        <v>92</v>
      </c>
      <c r="D11" s="11">
        <v>46065</v>
      </c>
      <c r="E11" s="11">
        <v>46071</v>
      </c>
      <c r="F11" s="10">
        <v>7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2">
        <v>0.1</v>
      </c>
      <c r="R11" s="10"/>
      <c r="S11" s="10"/>
      <c r="T11" s="20">
        <v>5</v>
      </c>
      <c r="U11" s="10"/>
      <c r="V11" s="10"/>
      <c r="W11" s="10"/>
      <c r="X11" s="10"/>
      <c r="Y11" s="10"/>
      <c r="Z11" s="10"/>
      <c r="AA11" s="10"/>
      <c r="AB11" s="10"/>
    </row>
    <row r="12" spans="2:28" x14ac:dyDescent="0.25">
      <c r="B12" s="10">
        <v>8</v>
      </c>
      <c r="C12" s="10" t="s">
        <v>92</v>
      </c>
      <c r="D12" s="11">
        <v>46072</v>
      </c>
      <c r="E12" s="11">
        <v>46078</v>
      </c>
      <c r="F12" s="10">
        <v>7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22">
        <v>0.1</v>
      </c>
      <c r="R12" s="10"/>
      <c r="S12" s="10"/>
      <c r="T12" s="20">
        <v>5</v>
      </c>
      <c r="U12" s="10"/>
      <c r="V12" s="10"/>
      <c r="W12" s="10"/>
      <c r="X12" s="10"/>
      <c r="Y12" s="10"/>
      <c r="Z12" s="10"/>
      <c r="AA12" s="10"/>
      <c r="AB12" s="10"/>
    </row>
    <row r="13" spans="2:28" x14ac:dyDescent="0.25">
      <c r="B13" s="10">
        <v>9</v>
      </c>
      <c r="C13" s="10" t="s">
        <v>92</v>
      </c>
      <c r="D13" s="11">
        <v>46079</v>
      </c>
      <c r="E13" s="11">
        <v>46085</v>
      </c>
      <c r="F13" s="10">
        <v>7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22">
        <v>0.1</v>
      </c>
      <c r="R13" s="10"/>
      <c r="S13" s="10"/>
      <c r="T13" s="20">
        <v>5</v>
      </c>
      <c r="U13" s="10"/>
      <c r="V13" s="10"/>
      <c r="W13" s="10"/>
      <c r="X13" s="10"/>
      <c r="Y13" s="10"/>
      <c r="Z13" s="10"/>
      <c r="AA13" s="10"/>
      <c r="AB13" s="10"/>
    </row>
    <row r="14" spans="2:28" x14ac:dyDescent="0.25">
      <c r="B14" s="10">
        <v>10</v>
      </c>
      <c r="C14" s="10" t="s">
        <v>92</v>
      </c>
      <c r="D14" s="11">
        <v>46086</v>
      </c>
      <c r="E14" s="11">
        <v>46092</v>
      </c>
      <c r="F14" s="10">
        <v>7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22">
        <v>0.1</v>
      </c>
      <c r="R14" s="10"/>
      <c r="S14" s="10"/>
      <c r="T14" s="20">
        <v>5</v>
      </c>
      <c r="U14" s="10"/>
      <c r="V14" s="10"/>
      <c r="W14" s="10"/>
      <c r="X14" s="10"/>
      <c r="Y14" s="10"/>
      <c r="Z14" s="10"/>
      <c r="AA14" s="10"/>
      <c r="AB14" s="10"/>
    </row>
    <row r="15" spans="2:28" x14ac:dyDescent="0.25">
      <c r="B15" s="10">
        <v>11</v>
      </c>
      <c r="C15" s="10" t="s">
        <v>92</v>
      </c>
      <c r="D15" s="11">
        <v>46093</v>
      </c>
      <c r="E15" s="11">
        <v>46099</v>
      </c>
      <c r="F15" s="10">
        <v>7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22">
        <v>0.1</v>
      </c>
      <c r="R15" s="10"/>
      <c r="S15" s="10"/>
      <c r="T15" s="20">
        <v>5</v>
      </c>
      <c r="U15" s="10"/>
      <c r="V15" s="10"/>
      <c r="W15" s="10"/>
      <c r="X15" s="10"/>
      <c r="Y15" s="10"/>
      <c r="Z15" s="10"/>
      <c r="AA15" s="10"/>
      <c r="AB15" s="10"/>
    </row>
    <row r="16" spans="2:28" x14ac:dyDescent="0.25">
      <c r="B16" s="10">
        <v>12</v>
      </c>
      <c r="C16" s="10" t="s">
        <v>92</v>
      </c>
      <c r="D16" s="11">
        <v>46100</v>
      </c>
      <c r="E16" s="11">
        <v>46106</v>
      </c>
      <c r="F16" s="10">
        <v>7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22">
        <v>0.1</v>
      </c>
      <c r="R16" s="10"/>
      <c r="S16" s="10"/>
      <c r="T16" s="20">
        <v>5</v>
      </c>
      <c r="U16" s="10"/>
      <c r="V16" s="10"/>
      <c r="W16" s="10"/>
      <c r="X16" s="10"/>
      <c r="Y16" s="10"/>
      <c r="Z16" s="10"/>
      <c r="AA16" s="10"/>
      <c r="AB16" s="10"/>
    </row>
    <row r="17" spans="2:28" ht="15.75" thickBot="1" x14ac:dyDescent="0.3">
      <c r="B17" s="12">
        <v>13</v>
      </c>
      <c r="C17" s="12" t="s">
        <v>93</v>
      </c>
      <c r="D17" s="13">
        <v>46107</v>
      </c>
      <c r="E17" s="13">
        <v>46109</v>
      </c>
      <c r="F17" s="12">
        <v>3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23">
        <v>0.1</v>
      </c>
      <c r="R17" s="12"/>
      <c r="S17" s="12"/>
      <c r="T17" s="21">
        <v>5</v>
      </c>
      <c r="U17" s="12"/>
      <c r="V17" s="12"/>
      <c r="W17" s="12"/>
      <c r="X17" s="12"/>
      <c r="Y17" s="12"/>
      <c r="Z17" s="12"/>
      <c r="AA17" s="12"/>
      <c r="AB17" s="12"/>
    </row>
    <row r="18" spans="2:28" x14ac:dyDescent="0.25">
      <c r="B18" s="8">
        <v>1</v>
      </c>
      <c r="C18" s="8" t="s">
        <v>94</v>
      </c>
      <c r="D18" s="9">
        <v>46110</v>
      </c>
      <c r="E18" s="9">
        <v>46116</v>
      </c>
      <c r="F18" s="8">
        <v>7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2:28" x14ac:dyDescent="0.25">
      <c r="B19" s="10">
        <v>2</v>
      </c>
      <c r="C19" s="10" t="s">
        <v>95</v>
      </c>
      <c r="D19" s="11">
        <v>46117</v>
      </c>
      <c r="E19" s="11">
        <v>46123</v>
      </c>
      <c r="F19" s="10">
        <v>7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2:28" x14ac:dyDescent="0.25">
      <c r="B20" s="10">
        <v>3</v>
      </c>
      <c r="C20" s="10" t="s">
        <v>95</v>
      </c>
      <c r="D20" s="11">
        <v>46124</v>
      </c>
      <c r="E20" s="11">
        <v>46130</v>
      </c>
      <c r="F20" s="10">
        <v>7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spans="2:28" x14ac:dyDescent="0.25">
      <c r="B21" s="10">
        <v>4</v>
      </c>
      <c r="C21" s="10" t="s">
        <v>95</v>
      </c>
      <c r="D21" s="11">
        <v>46131</v>
      </c>
      <c r="E21" s="11">
        <v>46137</v>
      </c>
      <c r="F21" s="10">
        <v>7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pans="2:28" x14ac:dyDescent="0.25">
      <c r="B22" s="10">
        <v>5</v>
      </c>
      <c r="C22" s="10" t="s">
        <v>95</v>
      </c>
      <c r="D22" s="11">
        <v>46138</v>
      </c>
      <c r="E22" s="11">
        <v>46144</v>
      </c>
      <c r="F22" s="10">
        <v>7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spans="2:28" x14ac:dyDescent="0.25">
      <c r="B23" s="10">
        <v>6</v>
      </c>
      <c r="C23" s="10" t="s">
        <v>95</v>
      </c>
      <c r="D23" s="11">
        <v>46145</v>
      </c>
      <c r="E23" s="11">
        <v>46151</v>
      </c>
      <c r="F23" s="10">
        <v>7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pans="2:28" x14ac:dyDescent="0.25">
      <c r="B24" s="10">
        <v>7</v>
      </c>
      <c r="C24" s="10" t="s">
        <v>95</v>
      </c>
      <c r="D24" s="11">
        <v>46152</v>
      </c>
      <c r="E24" s="11">
        <v>46158</v>
      </c>
      <c r="F24" s="10">
        <v>7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spans="2:28" x14ac:dyDescent="0.25">
      <c r="B25" s="10">
        <v>8</v>
      </c>
      <c r="C25" s="10" t="s">
        <v>95</v>
      </c>
      <c r="D25" s="11">
        <v>46159</v>
      </c>
      <c r="E25" s="11">
        <v>46165</v>
      </c>
      <c r="F25" s="10">
        <v>7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2:28" x14ac:dyDescent="0.25">
      <c r="B26" s="10">
        <v>9</v>
      </c>
      <c r="C26" s="10" t="s">
        <v>95</v>
      </c>
      <c r="D26" s="11">
        <v>46166</v>
      </c>
      <c r="E26" s="11">
        <v>46172</v>
      </c>
      <c r="F26" s="10">
        <v>7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2:28" x14ac:dyDescent="0.25">
      <c r="B27" s="10">
        <v>10</v>
      </c>
      <c r="C27" s="10" t="s">
        <v>95</v>
      </c>
      <c r="D27" s="11">
        <v>46173</v>
      </c>
      <c r="E27" s="11">
        <v>46179</v>
      </c>
      <c r="F27" s="10">
        <v>7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2:28" x14ac:dyDescent="0.25">
      <c r="B28" s="10">
        <v>11</v>
      </c>
      <c r="C28" s="10" t="s">
        <v>95</v>
      </c>
      <c r="D28" s="11">
        <v>46180</v>
      </c>
      <c r="E28" s="11">
        <v>46186</v>
      </c>
      <c r="F28" s="10">
        <v>7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2:28" x14ac:dyDescent="0.25">
      <c r="B29" s="10">
        <v>12</v>
      </c>
      <c r="C29" s="10" t="s">
        <v>95</v>
      </c>
      <c r="D29" s="11">
        <v>46187</v>
      </c>
      <c r="E29" s="11">
        <v>46193</v>
      </c>
      <c r="F29" s="10">
        <v>7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2:28" ht="15.75" thickBot="1" x14ac:dyDescent="0.3">
      <c r="B30" s="12">
        <v>13</v>
      </c>
      <c r="C30" s="12" t="s">
        <v>96</v>
      </c>
      <c r="D30" s="13">
        <v>46194</v>
      </c>
      <c r="E30" s="13">
        <v>46201</v>
      </c>
      <c r="F30" s="12">
        <v>8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 spans="2:28" x14ac:dyDescent="0.25">
      <c r="B31" s="8">
        <v>1</v>
      </c>
      <c r="C31" s="8" t="s">
        <v>97</v>
      </c>
      <c r="D31" s="9">
        <v>46202</v>
      </c>
      <c r="E31" s="9">
        <v>46208</v>
      </c>
      <c r="F31" s="8">
        <v>7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2:28" x14ac:dyDescent="0.25">
      <c r="B32" s="10">
        <v>2</v>
      </c>
      <c r="C32" s="10" t="s">
        <v>98</v>
      </c>
      <c r="D32" s="11">
        <v>46209</v>
      </c>
      <c r="E32" s="11">
        <v>46215</v>
      </c>
      <c r="F32" s="10">
        <v>7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2:28" x14ac:dyDescent="0.25">
      <c r="B33" s="10">
        <v>3</v>
      </c>
      <c r="C33" s="10" t="s">
        <v>98</v>
      </c>
      <c r="D33" s="11">
        <v>46216</v>
      </c>
      <c r="E33" s="11">
        <v>46222</v>
      </c>
      <c r="F33" s="10">
        <v>7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spans="2:28" x14ac:dyDescent="0.25">
      <c r="B34" s="10">
        <v>4</v>
      </c>
      <c r="C34" s="10" t="s">
        <v>98</v>
      </c>
      <c r="D34" s="11">
        <v>46223</v>
      </c>
      <c r="E34" s="11">
        <v>46229</v>
      </c>
      <c r="F34" s="10">
        <v>7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spans="2:28" x14ac:dyDescent="0.25">
      <c r="B35" s="10">
        <v>5</v>
      </c>
      <c r="C35" s="10" t="s">
        <v>98</v>
      </c>
      <c r="D35" s="11">
        <v>46230</v>
      </c>
      <c r="E35" s="11">
        <v>46236</v>
      </c>
      <c r="F35" s="10">
        <v>7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2:28" x14ac:dyDescent="0.25">
      <c r="B36" s="10">
        <v>6</v>
      </c>
      <c r="C36" s="10" t="s">
        <v>98</v>
      </c>
      <c r="D36" s="11">
        <v>46237</v>
      </c>
      <c r="E36" s="11">
        <v>46243</v>
      </c>
      <c r="F36" s="10">
        <v>7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spans="2:28" x14ac:dyDescent="0.25">
      <c r="B37" s="10">
        <v>7</v>
      </c>
      <c r="C37" s="10" t="s">
        <v>98</v>
      </c>
      <c r="D37" s="11">
        <v>46244</v>
      </c>
      <c r="E37" s="11">
        <v>46250</v>
      </c>
      <c r="F37" s="10">
        <v>7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spans="2:28" x14ac:dyDescent="0.25">
      <c r="B38" s="10">
        <v>8</v>
      </c>
      <c r="C38" s="10" t="s">
        <v>98</v>
      </c>
      <c r="D38" s="11">
        <v>46251</v>
      </c>
      <c r="E38" s="11">
        <v>46257</v>
      </c>
      <c r="F38" s="10">
        <v>7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2:28" x14ac:dyDescent="0.25">
      <c r="B39" s="10">
        <v>9</v>
      </c>
      <c r="C39" s="10" t="s">
        <v>98</v>
      </c>
      <c r="D39" s="11">
        <v>46258</v>
      </c>
      <c r="E39" s="11">
        <v>46264</v>
      </c>
      <c r="F39" s="10">
        <v>7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2:28" x14ac:dyDescent="0.25">
      <c r="B40" s="10">
        <v>10</v>
      </c>
      <c r="C40" s="10" t="s">
        <v>98</v>
      </c>
      <c r="D40" s="11">
        <v>46265</v>
      </c>
      <c r="E40" s="11">
        <v>46271</v>
      </c>
      <c r="F40" s="10">
        <v>7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2:28" x14ac:dyDescent="0.25">
      <c r="B41" s="10">
        <v>11</v>
      </c>
      <c r="C41" s="10" t="s">
        <v>98</v>
      </c>
      <c r="D41" s="11">
        <v>46272</v>
      </c>
      <c r="E41" s="11">
        <v>46278</v>
      </c>
      <c r="F41" s="10">
        <v>7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2:28" x14ac:dyDescent="0.25">
      <c r="B42" s="10">
        <v>12</v>
      </c>
      <c r="C42" s="10" t="s">
        <v>98</v>
      </c>
      <c r="D42" s="11">
        <v>46279</v>
      </c>
      <c r="E42" s="11">
        <v>46285</v>
      </c>
      <c r="F42" s="10">
        <v>7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2:28" ht="15.75" thickBot="1" x14ac:dyDescent="0.3">
      <c r="B43" s="12">
        <v>13</v>
      </c>
      <c r="C43" s="12" t="s">
        <v>99</v>
      </c>
      <c r="D43" s="13">
        <v>46286</v>
      </c>
      <c r="E43" s="13">
        <v>46293</v>
      </c>
      <c r="F43" s="12">
        <v>8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spans="2:28" x14ac:dyDescent="0.25">
      <c r="B44" s="8">
        <v>1</v>
      </c>
      <c r="C44" s="8" t="s">
        <v>100</v>
      </c>
      <c r="D44" s="9">
        <v>46294</v>
      </c>
      <c r="E44" s="9">
        <v>46300</v>
      </c>
      <c r="F44" s="8">
        <v>7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2:28" x14ac:dyDescent="0.25">
      <c r="B45" s="10">
        <v>2</v>
      </c>
      <c r="C45" s="10" t="s">
        <v>101</v>
      </c>
      <c r="D45" s="11">
        <v>46301</v>
      </c>
      <c r="E45" s="11">
        <v>46307</v>
      </c>
      <c r="F45" s="10">
        <v>7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spans="2:28" x14ac:dyDescent="0.25">
      <c r="B46" s="10">
        <v>3</v>
      </c>
      <c r="C46" s="10" t="s">
        <v>101</v>
      </c>
      <c r="D46" s="11">
        <v>46308</v>
      </c>
      <c r="E46" s="11">
        <v>46314</v>
      </c>
      <c r="F46" s="10">
        <v>7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spans="2:28" x14ac:dyDescent="0.25">
      <c r="B47" s="10">
        <v>4</v>
      </c>
      <c r="C47" s="10" t="s">
        <v>101</v>
      </c>
      <c r="D47" s="11">
        <v>46315</v>
      </c>
      <c r="E47" s="11">
        <v>46321</v>
      </c>
      <c r="F47" s="10">
        <v>7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spans="2:28" x14ac:dyDescent="0.25">
      <c r="B48" s="10">
        <v>5</v>
      </c>
      <c r="C48" s="10" t="s">
        <v>101</v>
      </c>
      <c r="D48" s="11">
        <v>46322</v>
      </c>
      <c r="E48" s="11">
        <v>46328</v>
      </c>
      <c r="F48" s="10">
        <v>7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spans="2:28" x14ac:dyDescent="0.25">
      <c r="B49" s="10">
        <v>6</v>
      </c>
      <c r="C49" s="10" t="s">
        <v>101</v>
      </c>
      <c r="D49" s="11">
        <v>46329</v>
      </c>
      <c r="E49" s="11">
        <v>46335</v>
      </c>
      <c r="F49" s="10">
        <v>7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spans="2:28" x14ac:dyDescent="0.25">
      <c r="B50" s="10">
        <v>7</v>
      </c>
      <c r="C50" s="10" t="s">
        <v>101</v>
      </c>
      <c r="D50" s="11">
        <v>46336</v>
      </c>
      <c r="E50" s="11">
        <v>46342</v>
      </c>
      <c r="F50" s="10">
        <v>7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spans="2:28" x14ac:dyDescent="0.25">
      <c r="B51" s="10">
        <v>8</v>
      </c>
      <c r="C51" s="10" t="s">
        <v>101</v>
      </c>
      <c r="D51" s="11">
        <v>46343</v>
      </c>
      <c r="E51" s="11">
        <v>46349</v>
      </c>
      <c r="F51" s="10">
        <v>7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spans="2:28" x14ac:dyDescent="0.25">
      <c r="B52" s="10">
        <v>9</v>
      </c>
      <c r="C52" s="10" t="s">
        <v>101</v>
      </c>
      <c r="D52" s="11">
        <v>46350</v>
      </c>
      <c r="E52" s="11">
        <v>46356</v>
      </c>
      <c r="F52" s="10">
        <v>7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spans="2:28" x14ac:dyDescent="0.25">
      <c r="B53" s="10">
        <v>10</v>
      </c>
      <c r="C53" s="10" t="s">
        <v>101</v>
      </c>
      <c r="D53" s="11">
        <v>46357</v>
      </c>
      <c r="E53" s="11">
        <v>46363</v>
      </c>
      <c r="F53" s="10">
        <v>7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spans="2:28" x14ac:dyDescent="0.25">
      <c r="B54" s="10">
        <v>11</v>
      </c>
      <c r="C54" s="10" t="s">
        <v>101</v>
      </c>
      <c r="D54" s="11">
        <v>46364</v>
      </c>
      <c r="E54" s="11">
        <v>46370</v>
      </c>
      <c r="F54" s="10">
        <v>7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spans="2:28" x14ac:dyDescent="0.25">
      <c r="B55" s="10">
        <v>12</v>
      </c>
      <c r="C55" s="10" t="s">
        <v>101</v>
      </c>
      <c r="D55" s="11">
        <v>46371</v>
      </c>
      <c r="E55" s="11">
        <v>46377</v>
      </c>
      <c r="F55" s="10">
        <v>7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spans="2:28" ht="15.75" thickBot="1" x14ac:dyDescent="0.3">
      <c r="B56" s="12">
        <v>13</v>
      </c>
      <c r="C56" s="12" t="s">
        <v>102</v>
      </c>
      <c r="D56" s="13">
        <v>46378</v>
      </c>
      <c r="E56" s="13">
        <v>46387</v>
      </c>
      <c r="F56" s="12">
        <v>10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spans="2:28" x14ac:dyDescent="0.25"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</sheetData>
  <mergeCells count="1">
    <mergeCell ref="B2:AB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8DA9BD0-65DA-4664-B4CA-DD1AD2D9CB52}">
          <x14:formula1>
            <xm:f>'Datos de la hoja'!$B$2:$B$4</xm:f>
          </x14:formula1>
          <xm:sqref>AA5:AA56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899AF-8A63-49CA-A368-E8D27865E8B5}">
  <dimension ref="B1:AA57"/>
  <sheetViews>
    <sheetView showGridLines="0" topLeftCell="L1" zoomScaleNormal="100" workbookViewId="0">
      <selection activeCell="L5" sqref="L5"/>
    </sheetView>
  </sheetViews>
  <sheetFormatPr baseColWidth="10" defaultRowHeight="15" x14ac:dyDescent="0.25"/>
  <cols>
    <col min="1" max="1" width="10.140625" customWidth="1"/>
    <col min="2" max="2" width="9.28515625" bestFit="1" customWidth="1"/>
    <col min="3" max="3" width="18.140625" bestFit="1" customWidth="1"/>
    <col min="4" max="4" width="12.85546875" bestFit="1" customWidth="1"/>
    <col min="5" max="5" width="12.42578125" bestFit="1" customWidth="1"/>
    <col min="6" max="6" width="15.85546875" bestFit="1" customWidth="1"/>
    <col min="7" max="7" width="27.7109375" bestFit="1" customWidth="1"/>
    <col min="8" max="8" width="32.85546875" bestFit="1" customWidth="1"/>
    <col min="9" max="9" width="14.5703125" bestFit="1" customWidth="1"/>
    <col min="10" max="10" width="31.7109375" bestFit="1" customWidth="1"/>
    <col min="11" max="11" width="26.7109375" bestFit="1" customWidth="1"/>
    <col min="12" max="12" width="17.7109375" bestFit="1" customWidth="1"/>
    <col min="13" max="13" width="139.5703125" bestFit="1" customWidth="1"/>
    <col min="14" max="14" width="32.85546875" bestFit="1" customWidth="1"/>
    <col min="15" max="15" width="14.5703125" bestFit="1" customWidth="1"/>
    <col min="16" max="16" width="10" bestFit="1" customWidth="1"/>
    <col min="17" max="17" width="17.42578125" bestFit="1" customWidth="1"/>
    <col min="18" max="18" width="13.28515625" bestFit="1" customWidth="1"/>
    <col min="19" max="19" width="17.42578125" bestFit="1" customWidth="1"/>
    <col min="20" max="20" width="12.140625" bestFit="1" customWidth="1"/>
    <col min="21" max="21" width="18" bestFit="1" customWidth="1"/>
    <col min="22" max="22" width="14" bestFit="1" customWidth="1"/>
    <col min="23" max="23" width="12.42578125" bestFit="1" customWidth="1"/>
    <col min="24" max="24" width="15.28515625" bestFit="1" customWidth="1"/>
    <col min="25" max="25" width="16.7109375" bestFit="1" customWidth="1"/>
    <col min="26" max="26" width="23.42578125" bestFit="1" customWidth="1"/>
    <col min="27" max="27" width="129" bestFit="1" customWidth="1"/>
  </cols>
  <sheetData>
    <row r="1" spans="2:27" ht="15.75" thickBot="1" x14ac:dyDescent="0.3"/>
    <row r="2" spans="2:27" ht="30.75" thickBot="1" x14ac:dyDescent="0.45">
      <c r="B2" s="31" t="s">
        <v>16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3"/>
    </row>
    <row r="4" spans="2:27" x14ac:dyDescent="0.25">
      <c r="B4" s="7" t="s">
        <v>71</v>
      </c>
      <c r="C4" s="7" t="s">
        <v>72</v>
      </c>
      <c r="D4" s="7" t="s">
        <v>73</v>
      </c>
      <c r="E4" s="7" t="s">
        <v>74</v>
      </c>
      <c r="F4" s="7" t="s">
        <v>75</v>
      </c>
      <c r="G4" s="7" t="s">
        <v>0</v>
      </c>
      <c r="H4" s="7" t="s">
        <v>76</v>
      </c>
      <c r="I4" s="7" t="s">
        <v>2</v>
      </c>
      <c r="J4" s="7" t="s">
        <v>3</v>
      </c>
      <c r="K4" s="7" t="s">
        <v>4</v>
      </c>
      <c r="L4" s="7" t="s">
        <v>77</v>
      </c>
      <c r="M4" s="7" t="s">
        <v>78</v>
      </c>
      <c r="N4" s="7" t="s">
        <v>35</v>
      </c>
      <c r="O4" s="7" t="s">
        <v>79</v>
      </c>
      <c r="P4" s="7" t="s">
        <v>195</v>
      </c>
      <c r="Q4" s="7" t="s">
        <v>80</v>
      </c>
      <c r="R4" s="7" t="s">
        <v>81</v>
      </c>
      <c r="S4" s="7" t="s">
        <v>196</v>
      </c>
      <c r="T4" s="19" t="s">
        <v>138</v>
      </c>
      <c r="U4" s="19" t="s">
        <v>139</v>
      </c>
      <c r="V4" s="7" t="s">
        <v>82</v>
      </c>
      <c r="W4" s="7" t="s">
        <v>83</v>
      </c>
      <c r="X4" s="7" t="s">
        <v>84</v>
      </c>
      <c r="Y4" s="7" t="s">
        <v>85</v>
      </c>
      <c r="Z4" s="7" t="s">
        <v>86</v>
      </c>
      <c r="AA4" s="7" t="s">
        <v>87</v>
      </c>
    </row>
    <row r="5" spans="2:27" x14ac:dyDescent="0.25">
      <c r="B5" s="8">
        <v>1</v>
      </c>
      <c r="C5" s="8" t="s">
        <v>91</v>
      </c>
      <c r="D5" s="9">
        <v>46023</v>
      </c>
      <c r="E5" s="9">
        <v>46029</v>
      </c>
      <c r="F5" s="8">
        <v>7</v>
      </c>
      <c r="G5" s="10" t="s">
        <v>13</v>
      </c>
      <c r="H5" s="10" t="s">
        <v>35</v>
      </c>
      <c r="I5" s="10" t="s">
        <v>119</v>
      </c>
      <c r="J5" s="10" t="s">
        <v>120</v>
      </c>
      <c r="K5" s="10" t="s">
        <v>121</v>
      </c>
      <c r="L5" s="10" t="s">
        <v>198</v>
      </c>
      <c r="M5" s="10" t="s">
        <v>159</v>
      </c>
      <c r="N5" s="10">
        <v>1</v>
      </c>
      <c r="O5" s="10">
        <f>N5</f>
        <v>1</v>
      </c>
      <c r="P5" s="10">
        <v>1</v>
      </c>
      <c r="Q5" s="22">
        <f>O5/P5</f>
        <v>1</v>
      </c>
      <c r="R5" s="20">
        <f>N5/T5</f>
        <v>0.16666666666666666</v>
      </c>
      <c r="S5" s="10">
        <v>0.15</v>
      </c>
      <c r="T5" s="20">
        <v>6</v>
      </c>
      <c r="U5" s="20">
        <v>8</v>
      </c>
      <c r="V5" s="22">
        <f>U5/T5</f>
        <v>1.3333333333333333</v>
      </c>
      <c r="W5" s="22">
        <f>IF(O5&gt;=P5,1,O5/P5)</f>
        <v>1</v>
      </c>
      <c r="X5" s="22">
        <f>V5*W5</f>
        <v>1.3333333333333333</v>
      </c>
      <c r="Y5" s="22">
        <f>R5/S5</f>
        <v>1.1111111111111112</v>
      </c>
      <c r="Z5" s="10" t="s">
        <v>190</v>
      </c>
      <c r="AA5" s="10" t="s">
        <v>158</v>
      </c>
    </row>
    <row r="6" spans="2:27" x14ac:dyDescent="0.25">
      <c r="B6" s="10">
        <v>2</v>
      </c>
      <c r="C6" s="10" t="s">
        <v>92</v>
      </c>
      <c r="D6" s="11">
        <v>46030</v>
      </c>
      <c r="E6" s="11">
        <v>46036</v>
      </c>
      <c r="F6" s="10">
        <v>7</v>
      </c>
      <c r="G6" s="10"/>
      <c r="H6" s="10"/>
      <c r="I6" s="10"/>
      <c r="J6" s="10"/>
      <c r="K6" s="10"/>
      <c r="L6" s="10"/>
      <c r="M6" s="10"/>
      <c r="N6" s="10"/>
      <c r="O6" s="10"/>
      <c r="P6" s="10">
        <v>1</v>
      </c>
      <c r="Q6" s="10"/>
      <c r="R6" s="10"/>
      <c r="S6" s="10">
        <v>0.15</v>
      </c>
      <c r="T6" s="10"/>
      <c r="U6" s="10"/>
      <c r="V6" s="10"/>
      <c r="W6" s="10"/>
      <c r="X6" s="10"/>
      <c r="Y6" s="10"/>
      <c r="Z6" s="10"/>
      <c r="AA6" s="10"/>
    </row>
    <row r="7" spans="2:27" x14ac:dyDescent="0.25">
      <c r="B7" s="10">
        <v>3</v>
      </c>
      <c r="C7" s="10" t="s">
        <v>92</v>
      </c>
      <c r="D7" s="11">
        <v>46037</v>
      </c>
      <c r="E7" s="11">
        <v>46043</v>
      </c>
      <c r="F7" s="10">
        <v>7</v>
      </c>
      <c r="G7" s="10"/>
      <c r="H7" s="10"/>
      <c r="I7" s="10"/>
      <c r="J7" s="10"/>
      <c r="K7" s="10"/>
      <c r="L7" s="10"/>
      <c r="M7" s="10"/>
      <c r="N7" s="10"/>
      <c r="O7" s="10"/>
      <c r="P7" s="10">
        <v>1</v>
      </c>
      <c r="Q7" s="10"/>
      <c r="R7" s="10"/>
      <c r="S7" s="10">
        <v>0.15</v>
      </c>
      <c r="T7" s="10"/>
      <c r="U7" s="10"/>
      <c r="V7" s="10"/>
      <c r="W7" s="10"/>
      <c r="X7" s="10"/>
      <c r="Y7" s="10"/>
      <c r="Z7" s="10"/>
      <c r="AA7" s="10"/>
    </row>
    <row r="8" spans="2:27" x14ac:dyDescent="0.25">
      <c r="B8" s="10">
        <v>4</v>
      </c>
      <c r="C8" s="10" t="s">
        <v>92</v>
      </c>
      <c r="D8" s="11">
        <v>46044</v>
      </c>
      <c r="E8" s="11">
        <v>46050</v>
      </c>
      <c r="F8" s="10">
        <v>7</v>
      </c>
      <c r="G8" s="10"/>
      <c r="H8" s="10"/>
      <c r="I8" s="10"/>
      <c r="J8" s="10"/>
      <c r="K8" s="10"/>
      <c r="L8" s="10"/>
      <c r="M8" s="10"/>
      <c r="N8" s="10"/>
      <c r="O8" s="10"/>
      <c r="P8" s="10">
        <v>1</v>
      </c>
      <c r="Q8" s="10"/>
      <c r="R8" s="10"/>
      <c r="S8" s="10">
        <v>0.15</v>
      </c>
      <c r="T8" s="10"/>
      <c r="U8" s="10"/>
      <c r="V8" s="10"/>
      <c r="W8" s="10"/>
      <c r="X8" s="10"/>
      <c r="Y8" s="10"/>
      <c r="Z8" s="10"/>
      <c r="AA8" s="10"/>
    </row>
    <row r="9" spans="2:27" x14ac:dyDescent="0.25">
      <c r="B9" s="10">
        <v>5</v>
      </c>
      <c r="C9" s="10" t="s">
        <v>92</v>
      </c>
      <c r="D9" s="11">
        <v>46051</v>
      </c>
      <c r="E9" s="11">
        <v>46057</v>
      </c>
      <c r="F9" s="10">
        <v>7</v>
      </c>
      <c r="G9" s="10"/>
      <c r="H9" s="10"/>
      <c r="I9" s="10"/>
      <c r="J9" s="10"/>
      <c r="K9" s="10"/>
      <c r="L9" s="10"/>
      <c r="M9" s="10"/>
      <c r="N9" s="10"/>
      <c r="O9" s="10"/>
      <c r="P9" s="10">
        <v>1</v>
      </c>
      <c r="Q9" s="10"/>
      <c r="R9" s="10"/>
      <c r="S9" s="10">
        <v>0.15</v>
      </c>
      <c r="T9" s="10"/>
      <c r="U9" s="10"/>
      <c r="V9" s="10"/>
      <c r="W9" s="10"/>
      <c r="X9" s="10"/>
      <c r="Y9" s="10"/>
      <c r="Z9" s="10"/>
      <c r="AA9" s="10"/>
    </row>
    <row r="10" spans="2:27" x14ac:dyDescent="0.25">
      <c r="B10" s="10">
        <v>6</v>
      </c>
      <c r="C10" s="10" t="s">
        <v>92</v>
      </c>
      <c r="D10" s="11">
        <v>46058</v>
      </c>
      <c r="E10" s="11">
        <v>46064</v>
      </c>
      <c r="F10" s="10">
        <v>7</v>
      </c>
      <c r="G10" s="10"/>
      <c r="H10" s="10"/>
      <c r="I10" s="10"/>
      <c r="J10" s="10"/>
      <c r="K10" s="10"/>
      <c r="L10" s="10"/>
      <c r="M10" s="10"/>
      <c r="N10" s="10"/>
      <c r="O10" s="10"/>
      <c r="P10" s="10">
        <v>1</v>
      </c>
      <c r="Q10" s="10"/>
      <c r="R10" s="10"/>
      <c r="S10" s="10">
        <v>0.15</v>
      </c>
      <c r="T10" s="10"/>
      <c r="U10" s="10"/>
      <c r="V10" s="10"/>
      <c r="W10" s="10"/>
      <c r="X10" s="10"/>
      <c r="Y10" s="10"/>
      <c r="Z10" s="10"/>
      <c r="AA10" s="10"/>
    </row>
    <row r="11" spans="2:27" x14ac:dyDescent="0.25">
      <c r="B11" s="10">
        <v>7</v>
      </c>
      <c r="C11" s="10" t="s">
        <v>92</v>
      </c>
      <c r="D11" s="11">
        <v>46065</v>
      </c>
      <c r="E11" s="11">
        <v>46071</v>
      </c>
      <c r="F11" s="10">
        <v>7</v>
      </c>
      <c r="G11" s="10"/>
      <c r="H11" s="10"/>
      <c r="I11" s="10"/>
      <c r="J11" s="10"/>
      <c r="K11" s="10"/>
      <c r="L11" s="10"/>
      <c r="M11" s="10"/>
      <c r="N11" s="10"/>
      <c r="O11" s="10"/>
      <c r="P11" s="10">
        <v>1</v>
      </c>
      <c r="Q11" s="10"/>
      <c r="R11" s="10"/>
      <c r="S11" s="10">
        <v>0.15</v>
      </c>
      <c r="T11" s="10"/>
      <c r="U11" s="10"/>
      <c r="V11" s="10"/>
      <c r="W11" s="10"/>
      <c r="X11" s="10"/>
      <c r="Y11" s="10"/>
      <c r="Z11" s="10"/>
      <c r="AA11" s="10"/>
    </row>
    <row r="12" spans="2:27" x14ac:dyDescent="0.25">
      <c r="B12" s="10">
        <v>8</v>
      </c>
      <c r="C12" s="10" t="s">
        <v>92</v>
      </c>
      <c r="D12" s="11">
        <v>46072</v>
      </c>
      <c r="E12" s="11">
        <v>46078</v>
      </c>
      <c r="F12" s="10">
        <v>7</v>
      </c>
      <c r="G12" s="10"/>
      <c r="H12" s="10"/>
      <c r="I12" s="10"/>
      <c r="J12" s="10"/>
      <c r="K12" s="10"/>
      <c r="L12" s="10"/>
      <c r="M12" s="10"/>
      <c r="N12" s="10"/>
      <c r="O12" s="10"/>
      <c r="P12" s="10">
        <v>1</v>
      </c>
      <c r="Q12" s="10"/>
      <c r="R12" s="10"/>
      <c r="S12" s="10">
        <v>0.15</v>
      </c>
      <c r="T12" s="10"/>
      <c r="U12" s="10"/>
      <c r="V12" s="10"/>
      <c r="W12" s="10"/>
      <c r="X12" s="10"/>
      <c r="Y12" s="10"/>
      <c r="Z12" s="10"/>
      <c r="AA12" s="10"/>
    </row>
    <row r="13" spans="2:27" x14ac:dyDescent="0.25">
      <c r="B13" s="10">
        <v>9</v>
      </c>
      <c r="C13" s="10" t="s">
        <v>92</v>
      </c>
      <c r="D13" s="11">
        <v>46079</v>
      </c>
      <c r="E13" s="11">
        <v>46085</v>
      </c>
      <c r="F13" s="10">
        <v>7</v>
      </c>
      <c r="G13" s="10"/>
      <c r="H13" s="10"/>
      <c r="I13" s="10"/>
      <c r="J13" s="10"/>
      <c r="K13" s="10"/>
      <c r="L13" s="10"/>
      <c r="M13" s="10"/>
      <c r="N13" s="10"/>
      <c r="O13" s="10"/>
      <c r="P13" s="10">
        <v>1</v>
      </c>
      <c r="Q13" s="10"/>
      <c r="R13" s="10"/>
      <c r="S13" s="10">
        <v>0.15</v>
      </c>
      <c r="T13" s="10"/>
      <c r="U13" s="10"/>
      <c r="V13" s="10"/>
      <c r="W13" s="10"/>
      <c r="X13" s="10"/>
      <c r="Y13" s="10"/>
      <c r="Z13" s="10"/>
      <c r="AA13" s="10"/>
    </row>
    <row r="14" spans="2:27" x14ac:dyDescent="0.25">
      <c r="B14" s="10">
        <v>10</v>
      </c>
      <c r="C14" s="10" t="s">
        <v>92</v>
      </c>
      <c r="D14" s="11">
        <v>46086</v>
      </c>
      <c r="E14" s="11">
        <v>46092</v>
      </c>
      <c r="F14" s="10">
        <v>7</v>
      </c>
      <c r="G14" s="10"/>
      <c r="H14" s="10"/>
      <c r="I14" s="10"/>
      <c r="J14" s="10"/>
      <c r="K14" s="10"/>
      <c r="L14" s="10"/>
      <c r="M14" s="10"/>
      <c r="N14" s="10"/>
      <c r="O14" s="10"/>
      <c r="P14" s="10">
        <v>1</v>
      </c>
      <c r="Q14" s="10"/>
      <c r="R14" s="10"/>
      <c r="S14" s="10">
        <v>0.15</v>
      </c>
      <c r="T14" s="10"/>
      <c r="U14" s="10"/>
      <c r="V14" s="10"/>
      <c r="W14" s="10"/>
      <c r="X14" s="10"/>
      <c r="Y14" s="10"/>
      <c r="Z14" s="10"/>
      <c r="AA14" s="10"/>
    </row>
    <row r="15" spans="2:27" x14ac:dyDescent="0.25">
      <c r="B15" s="10">
        <v>11</v>
      </c>
      <c r="C15" s="10" t="s">
        <v>92</v>
      </c>
      <c r="D15" s="11">
        <v>46093</v>
      </c>
      <c r="E15" s="11">
        <v>46099</v>
      </c>
      <c r="F15" s="10">
        <v>7</v>
      </c>
      <c r="G15" s="10"/>
      <c r="H15" s="10"/>
      <c r="I15" s="10"/>
      <c r="J15" s="10"/>
      <c r="K15" s="10"/>
      <c r="L15" s="10"/>
      <c r="M15" s="10"/>
      <c r="N15" s="10"/>
      <c r="O15" s="10"/>
      <c r="P15" s="10">
        <v>1</v>
      </c>
      <c r="Q15" s="10"/>
      <c r="R15" s="10"/>
      <c r="S15" s="10">
        <v>0.15</v>
      </c>
      <c r="T15" s="10"/>
      <c r="U15" s="10"/>
      <c r="V15" s="10"/>
      <c r="W15" s="10"/>
      <c r="X15" s="10"/>
      <c r="Y15" s="10"/>
      <c r="Z15" s="10"/>
      <c r="AA15" s="10"/>
    </row>
    <row r="16" spans="2:27" x14ac:dyDescent="0.25">
      <c r="B16" s="10">
        <v>12</v>
      </c>
      <c r="C16" s="10" t="s">
        <v>92</v>
      </c>
      <c r="D16" s="11">
        <v>46100</v>
      </c>
      <c r="E16" s="11">
        <v>46106</v>
      </c>
      <c r="F16" s="10">
        <v>7</v>
      </c>
      <c r="G16" s="10"/>
      <c r="H16" s="10"/>
      <c r="I16" s="10"/>
      <c r="J16" s="10"/>
      <c r="K16" s="10"/>
      <c r="L16" s="10"/>
      <c r="M16" s="10"/>
      <c r="N16" s="10"/>
      <c r="O16" s="10"/>
      <c r="P16" s="10">
        <v>1</v>
      </c>
      <c r="Q16" s="10"/>
      <c r="R16" s="10"/>
      <c r="S16" s="10">
        <v>0.15</v>
      </c>
      <c r="T16" s="10"/>
      <c r="U16" s="10"/>
      <c r="V16" s="10"/>
      <c r="W16" s="10"/>
      <c r="X16" s="10"/>
      <c r="Y16" s="10"/>
      <c r="Z16" s="10"/>
      <c r="AA16" s="10"/>
    </row>
    <row r="17" spans="2:27" ht="15.75" thickBot="1" x14ac:dyDescent="0.3">
      <c r="B17" s="12">
        <v>13</v>
      </c>
      <c r="C17" s="12" t="s">
        <v>93</v>
      </c>
      <c r="D17" s="13">
        <v>46107</v>
      </c>
      <c r="E17" s="13">
        <v>46109</v>
      </c>
      <c r="F17" s="12">
        <v>3</v>
      </c>
      <c r="G17" s="12"/>
      <c r="H17" s="12"/>
      <c r="I17" s="12"/>
      <c r="J17" s="12"/>
      <c r="K17" s="12"/>
      <c r="L17" s="12"/>
      <c r="M17" s="12"/>
      <c r="N17" s="12"/>
      <c r="O17" s="12"/>
      <c r="P17" s="12">
        <v>1</v>
      </c>
      <c r="Q17" s="12"/>
      <c r="R17" s="12"/>
      <c r="S17" s="12">
        <v>0.15</v>
      </c>
      <c r="T17" s="12"/>
      <c r="U17" s="12"/>
      <c r="V17" s="12"/>
      <c r="W17" s="12"/>
      <c r="X17" s="12"/>
      <c r="Y17" s="12"/>
      <c r="Z17" s="12"/>
      <c r="AA17" s="12"/>
    </row>
    <row r="18" spans="2:27" x14ac:dyDescent="0.25">
      <c r="B18" s="8">
        <v>1</v>
      </c>
      <c r="C18" s="8" t="s">
        <v>94</v>
      </c>
      <c r="D18" s="9">
        <v>46110</v>
      </c>
      <c r="E18" s="9">
        <v>46116</v>
      </c>
      <c r="F18" s="8">
        <v>7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2:27" x14ac:dyDescent="0.25">
      <c r="B19" s="10">
        <v>2</v>
      </c>
      <c r="C19" s="10" t="s">
        <v>95</v>
      </c>
      <c r="D19" s="11">
        <v>46117</v>
      </c>
      <c r="E19" s="11">
        <v>46123</v>
      </c>
      <c r="F19" s="10">
        <v>7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2:27" x14ac:dyDescent="0.25">
      <c r="B20" s="10">
        <v>3</v>
      </c>
      <c r="C20" s="10" t="s">
        <v>95</v>
      </c>
      <c r="D20" s="11">
        <v>46124</v>
      </c>
      <c r="E20" s="11">
        <v>46130</v>
      </c>
      <c r="F20" s="10">
        <v>7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2:27" x14ac:dyDescent="0.25">
      <c r="B21" s="10">
        <v>4</v>
      </c>
      <c r="C21" s="10" t="s">
        <v>95</v>
      </c>
      <c r="D21" s="11">
        <v>46131</v>
      </c>
      <c r="E21" s="11">
        <v>46137</v>
      </c>
      <c r="F21" s="10">
        <v>7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2:27" x14ac:dyDescent="0.25">
      <c r="B22" s="10">
        <v>5</v>
      </c>
      <c r="C22" s="10" t="s">
        <v>95</v>
      </c>
      <c r="D22" s="11">
        <v>46138</v>
      </c>
      <c r="E22" s="11">
        <v>46144</v>
      </c>
      <c r="F22" s="10">
        <v>7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2:27" x14ac:dyDescent="0.25">
      <c r="B23" s="10">
        <v>6</v>
      </c>
      <c r="C23" s="10" t="s">
        <v>95</v>
      </c>
      <c r="D23" s="11">
        <v>46145</v>
      </c>
      <c r="E23" s="11">
        <v>46151</v>
      </c>
      <c r="F23" s="10">
        <v>7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2:27" x14ac:dyDescent="0.25">
      <c r="B24" s="10">
        <v>7</v>
      </c>
      <c r="C24" s="10" t="s">
        <v>95</v>
      </c>
      <c r="D24" s="11">
        <v>46152</v>
      </c>
      <c r="E24" s="11">
        <v>46158</v>
      </c>
      <c r="F24" s="10">
        <v>7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2:27" x14ac:dyDescent="0.25">
      <c r="B25" s="10">
        <v>8</v>
      </c>
      <c r="C25" s="10" t="s">
        <v>95</v>
      </c>
      <c r="D25" s="11">
        <v>46159</v>
      </c>
      <c r="E25" s="11">
        <v>46165</v>
      </c>
      <c r="F25" s="10">
        <v>7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2:27" x14ac:dyDescent="0.25">
      <c r="B26" s="10">
        <v>9</v>
      </c>
      <c r="C26" s="10" t="s">
        <v>95</v>
      </c>
      <c r="D26" s="11">
        <v>46166</v>
      </c>
      <c r="E26" s="11">
        <v>46172</v>
      </c>
      <c r="F26" s="10">
        <v>7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2:27" x14ac:dyDescent="0.25">
      <c r="B27" s="10">
        <v>10</v>
      </c>
      <c r="C27" s="10" t="s">
        <v>95</v>
      </c>
      <c r="D27" s="11">
        <v>46173</v>
      </c>
      <c r="E27" s="11">
        <v>46179</v>
      </c>
      <c r="F27" s="10">
        <v>7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2:27" x14ac:dyDescent="0.25">
      <c r="B28" s="10">
        <v>11</v>
      </c>
      <c r="C28" s="10" t="s">
        <v>95</v>
      </c>
      <c r="D28" s="11">
        <v>46180</v>
      </c>
      <c r="E28" s="11">
        <v>46186</v>
      </c>
      <c r="F28" s="10">
        <v>7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2:27" x14ac:dyDescent="0.25">
      <c r="B29" s="10">
        <v>12</v>
      </c>
      <c r="C29" s="10" t="s">
        <v>95</v>
      </c>
      <c r="D29" s="11">
        <v>46187</v>
      </c>
      <c r="E29" s="11">
        <v>46193</v>
      </c>
      <c r="F29" s="10">
        <v>7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2:27" ht="15.75" thickBot="1" x14ac:dyDescent="0.3">
      <c r="B30" s="12">
        <v>13</v>
      </c>
      <c r="C30" s="12" t="s">
        <v>96</v>
      </c>
      <c r="D30" s="13">
        <v>46194</v>
      </c>
      <c r="E30" s="13">
        <v>46201</v>
      </c>
      <c r="F30" s="12">
        <v>8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2:27" x14ac:dyDescent="0.25">
      <c r="B31" s="8">
        <v>1</v>
      </c>
      <c r="C31" s="8" t="s">
        <v>97</v>
      </c>
      <c r="D31" s="9">
        <v>46202</v>
      </c>
      <c r="E31" s="9">
        <v>46208</v>
      </c>
      <c r="F31" s="8">
        <v>7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2:27" x14ac:dyDescent="0.25">
      <c r="B32" s="10">
        <v>2</v>
      </c>
      <c r="C32" s="10" t="s">
        <v>98</v>
      </c>
      <c r="D32" s="11">
        <v>46209</v>
      </c>
      <c r="E32" s="11">
        <v>46215</v>
      </c>
      <c r="F32" s="10">
        <v>7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2:27" x14ac:dyDescent="0.25">
      <c r="B33" s="10">
        <v>3</v>
      </c>
      <c r="C33" s="10" t="s">
        <v>98</v>
      </c>
      <c r="D33" s="11">
        <v>46216</v>
      </c>
      <c r="E33" s="11">
        <v>46222</v>
      </c>
      <c r="F33" s="10">
        <v>7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2:27" x14ac:dyDescent="0.25">
      <c r="B34" s="10">
        <v>4</v>
      </c>
      <c r="C34" s="10" t="s">
        <v>98</v>
      </c>
      <c r="D34" s="11">
        <v>46223</v>
      </c>
      <c r="E34" s="11">
        <v>46229</v>
      </c>
      <c r="F34" s="10">
        <v>7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2:27" x14ac:dyDescent="0.25">
      <c r="B35" s="10">
        <v>5</v>
      </c>
      <c r="C35" s="10" t="s">
        <v>98</v>
      </c>
      <c r="D35" s="11">
        <v>46230</v>
      </c>
      <c r="E35" s="11">
        <v>46236</v>
      </c>
      <c r="F35" s="10">
        <v>7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2:27" x14ac:dyDescent="0.25">
      <c r="B36" s="10">
        <v>6</v>
      </c>
      <c r="C36" s="10" t="s">
        <v>98</v>
      </c>
      <c r="D36" s="11">
        <v>46237</v>
      </c>
      <c r="E36" s="11">
        <v>46243</v>
      </c>
      <c r="F36" s="10">
        <v>7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2:27" x14ac:dyDescent="0.25">
      <c r="B37" s="10">
        <v>7</v>
      </c>
      <c r="C37" s="10" t="s">
        <v>98</v>
      </c>
      <c r="D37" s="11">
        <v>46244</v>
      </c>
      <c r="E37" s="11">
        <v>46250</v>
      </c>
      <c r="F37" s="10">
        <v>7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2:27" x14ac:dyDescent="0.25">
      <c r="B38" s="10">
        <v>8</v>
      </c>
      <c r="C38" s="10" t="s">
        <v>98</v>
      </c>
      <c r="D38" s="11">
        <v>46251</v>
      </c>
      <c r="E38" s="11">
        <v>46257</v>
      </c>
      <c r="F38" s="10">
        <v>7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2:27" x14ac:dyDescent="0.25">
      <c r="B39" s="10">
        <v>9</v>
      </c>
      <c r="C39" s="10" t="s">
        <v>98</v>
      </c>
      <c r="D39" s="11">
        <v>46258</v>
      </c>
      <c r="E39" s="11">
        <v>46264</v>
      </c>
      <c r="F39" s="10">
        <v>7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2:27" x14ac:dyDescent="0.25">
      <c r="B40" s="10">
        <v>10</v>
      </c>
      <c r="C40" s="10" t="s">
        <v>98</v>
      </c>
      <c r="D40" s="11">
        <v>46265</v>
      </c>
      <c r="E40" s="11">
        <v>46271</v>
      </c>
      <c r="F40" s="10">
        <v>7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2:27" x14ac:dyDescent="0.25">
      <c r="B41" s="10">
        <v>11</v>
      </c>
      <c r="C41" s="10" t="s">
        <v>98</v>
      </c>
      <c r="D41" s="11">
        <v>46272</v>
      </c>
      <c r="E41" s="11">
        <v>46278</v>
      </c>
      <c r="F41" s="10">
        <v>7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2:27" x14ac:dyDescent="0.25">
      <c r="B42" s="10">
        <v>12</v>
      </c>
      <c r="C42" s="10" t="s">
        <v>98</v>
      </c>
      <c r="D42" s="11">
        <v>46279</v>
      </c>
      <c r="E42" s="11">
        <v>46285</v>
      </c>
      <c r="F42" s="10">
        <v>7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2:27" ht="15.75" thickBot="1" x14ac:dyDescent="0.3">
      <c r="B43" s="12">
        <v>13</v>
      </c>
      <c r="C43" s="12" t="s">
        <v>99</v>
      </c>
      <c r="D43" s="13">
        <v>46286</v>
      </c>
      <c r="E43" s="13">
        <v>46293</v>
      </c>
      <c r="F43" s="12">
        <v>8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2:27" x14ac:dyDescent="0.25">
      <c r="B44" s="8">
        <v>1</v>
      </c>
      <c r="C44" s="8" t="s">
        <v>100</v>
      </c>
      <c r="D44" s="9">
        <v>46294</v>
      </c>
      <c r="E44" s="9">
        <v>46300</v>
      </c>
      <c r="F44" s="8">
        <v>7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2:27" x14ac:dyDescent="0.25">
      <c r="B45" s="10">
        <v>2</v>
      </c>
      <c r="C45" s="10" t="s">
        <v>101</v>
      </c>
      <c r="D45" s="11">
        <v>46301</v>
      </c>
      <c r="E45" s="11">
        <v>46307</v>
      </c>
      <c r="F45" s="10">
        <v>7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2:27" x14ac:dyDescent="0.25">
      <c r="B46" s="10">
        <v>3</v>
      </c>
      <c r="C46" s="10" t="s">
        <v>101</v>
      </c>
      <c r="D46" s="11">
        <v>46308</v>
      </c>
      <c r="E46" s="11">
        <v>46314</v>
      </c>
      <c r="F46" s="10">
        <v>7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2:27" x14ac:dyDescent="0.25">
      <c r="B47" s="10">
        <v>4</v>
      </c>
      <c r="C47" s="10" t="s">
        <v>101</v>
      </c>
      <c r="D47" s="11">
        <v>46315</v>
      </c>
      <c r="E47" s="11">
        <v>46321</v>
      </c>
      <c r="F47" s="10">
        <v>7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2:27" x14ac:dyDescent="0.25">
      <c r="B48" s="10">
        <v>5</v>
      </c>
      <c r="C48" s="10" t="s">
        <v>101</v>
      </c>
      <c r="D48" s="11">
        <v>46322</v>
      </c>
      <c r="E48" s="11">
        <v>46328</v>
      </c>
      <c r="F48" s="10">
        <v>7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2:27" x14ac:dyDescent="0.25">
      <c r="B49" s="10">
        <v>6</v>
      </c>
      <c r="C49" s="10" t="s">
        <v>101</v>
      </c>
      <c r="D49" s="11">
        <v>46329</v>
      </c>
      <c r="E49" s="11">
        <v>46335</v>
      </c>
      <c r="F49" s="10">
        <v>7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2:27" x14ac:dyDescent="0.25">
      <c r="B50" s="10">
        <v>7</v>
      </c>
      <c r="C50" s="10" t="s">
        <v>101</v>
      </c>
      <c r="D50" s="11">
        <v>46336</v>
      </c>
      <c r="E50" s="11">
        <v>46342</v>
      </c>
      <c r="F50" s="10">
        <v>7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2:27" x14ac:dyDescent="0.25">
      <c r="B51" s="10">
        <v>8</v>
      </c>
      <c r="C51" s="10" t="s">
        <v>101</v>
      </c>
      <c r="D51" s="11">
        <v>46343</v>
      </c>
      <c r="E51" s="11">
        <v>46349</v>
      </c>
      <c r="F51" s="10">
        <v>7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2:27" x14ac:dyDescent="0.25">
      <c r="B52" s="10">
        <v>9</v>
      </c>
      <c r="C52" s="10" t="s">
        <v>101</v>
      </c>
      <c r="D52" s="11">
        <v>46350</v>
      </c>
      <c r="E52" s="11">
        <v>46356</v>
      </c>
      <c r="F52" s="10">
        <v>7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2:27" x14ac:dyDescent="0.25">
      <c r="B53" s="10">
        <v>10</v>
      </c>
      <c r="C53" s="10" t="s">
        <v>101</v>
      </c>
      <c r="D53" s="11">
        <v>46357</v>
      </c>
      <c r="E53" s="11">
        <v>46363</v>
      </c>
      <c r="F53" s="10">
        <v>7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2:27" x14ac:dyDescent="0.25">
      <c r="B54" s="10">
        <v>11</v>
      </c>
      <c r="C54" s="10" t="s">
        <v>101</v>
      </c>
      <c r="D54" s="11">
        <v>46364</v>
      </c>
      <c r="E54" s="11">
        <v>46370</v>
      </c>
      <c r="F54" s="10">
        <v>7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2:27" x14ac:dyDescent="0.25">
      <c r="B55" s="10">
        <v>12</v>
      </c>
      <c r="C55" s="10" t="s">
        <v>101</v>
      </c>
      <c r="D55" s="11">
        <v>46371</v>
      </c>
      <c r="E55" s="11">
        <v>46377</v>
      </c>
      <c r="F55" s="10">
        <v>7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2:27" ht="15.75" thickBot="1" x14ac:dyDescent="0.3">
      <c r="B56" s="12">
        <v>13</v>
      </c>
      <c r="C56" s="12" t="s">
        <v>102</v>
      </c>
      <c r="D56" s="13">
        <v>46378</v>
      </c>
      <c r="E56" s="13">
        <v>46387</v>
      </c>
      <c r="F56" s="12">
        <v>10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2:27" x14ac:dyDescent="0.25"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</sheetData>
  <mergeCells count="1">
    <mergeCell ref="B2:AA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6DCC936-B7A1-4225-A8DC-F33FB9A95AE0}">
          <x14:formula1>
            <xm:f>'Datos de la hoja'!$B$2:$B$4</xm:f>
          </x14:formula1>
          <xm:sqref>Z5:Z56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C9736-5BC6-4A5E-929B-8AF04B6E6B57}">
  <dimension ref="B1:AB57"/>
  <sheetViews>
    <sheetView showGridLines="0" topLeftCell="B1" zoomScaleNormal="100" workbookViewId="0">
      <selection activeCell="L5" sqref="L5"/>
    </sheetView>
  </sheetViews>
  <sheetFormatPr baseColWidth="10" defaultRowHeight="15" x14ac:dyDescent="0.25"/>
  <cols>
    <col min="1" max="1" width="10.140625" customWidth="1"/>
    <col min="2" max="2" width="9.28515625" bestFit="1" customWidth="1"/>
    <col min="3" max="3" width="18.140625" bestFit="1" customWidth="1"/>
    <col min="4" max="4" width="12.85546875" bestFit="1" customWidth="1"/>
    <col min="5" max="5" width="12.42578125" bestFit="1" customWidth="1"/>
    <col min="6" max="6" width="15.85546875" bestFit="1" customWidth="1"/>
    <col min="7" max="7" width="30" bestFit="1" customWidth="1"/>
    <col min="8" max="8" width="34.5703125" customWidth="1"/>
    <col min="9" max="9" width="18.140625" bestFit="1" customWidth="1"/>
    <col min="10" max="10" width="34.42578125" bestFit="1" customWidth="1"/>
    <col min="11" max="11" width="30.28515625" bestFit="1" customWidth="1"/>
    <col min="12" max="12" width="13.85546875" bestFit="1" customWidth="1"/>
    <col min="13" max="13" width="160.42578125" bestFit="1" customWidth="1"/>
    <col min="14" max="14" width="31.5703125" bestFit="1" customWidth="1"/>
    <col min="15" max="15" width="33.85546875" bestFit="1" customWidth="1"/>
    <col min="16" max="16" width="14.5703125" bestFit="1" customWidth="1"/>
    <col min="17" max="17" width="10" bestFit="1" customWidth="1"/>
    <col min="18" max="18" width="17" bestFit="1" customWidth="1"/>
    <col min="19" max="19" width="13.28515625" bestFit="1" customWidth="1"/>
    <col min="20" max="20" width="17.42578125" bestFit="1" customWidth="1"/>
    <col min="21" max="21" width="12.140625" bestFit="1" customWidth="1"/>
    <col min="22" max="22" width="18" bestFit="1" customWidth="1"/>
    <col min="23" max="23" width="14" bestFit="1" customWidth="1"/>
    <col min="24" max="24" width="12.42578125" bestFit="1" customWidth="1"/>
    <col min="25" max="25" width="15.28515625" bestFit="1" customWidth="1"/>
    <col min="26" max="26" width="16.7109375" bestFit="1" customWidth="1"/>
    <col min="27" max="27" width="20.140625" bestFit="1" customWidth="1"/>
    <col min="28" max="28" width="149.140625" bestFit="1" customWidth="1"/>
  </cols>
  <sheetData>
    <row r="1" spans="2:28" ht="15.75" thickBot="1" x14ac:dyDescent="0.3"/>
    <row r="2" spans="2:28" ht="30.75" thickBot="1" x14ac:dyDescent="0.45">
      <c r="B2" s="31" t="s">
        <v>16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3"/>
    </row>
    <row r="4" spans="2:28" x14ac:dyDescent="0.25">
      <c r="B4" s="7" t="s">
        <v>71</v>
      </c>
      <c r="C4" s="7" t="s">
        <v>72</v>
      </c>
      <c r="D4" s="7" t="s">
        <v>73</v>
      </c>
      <c r="E4" s="7" t="s">
        <v>74</v>
      </c>
      <c r="F4" s="7" t="s">
        <v>75</v>
      </c>
      <c r="G4" s="7" t="s">
        <v>0</v>
      </c>
      <c r="H4" s="7" t="s">
        <v>76</v>
      </c>
      <c r="I4" s="7" t="s">
        <v>2</v>
      </c>
      <c r="J4" s="7" t="s">
        <v>3</v>
      </c>
      <c r="K4" s="7" t="s">
        <v>4</v>
      </c>
      <c r="L4" s="7" t="s">
        <v>77</v>
      </c>
      <c r="M4" s="7" t="s">
        <v>78</v>
      </c>
      <c r="N4" s="7" t="s">
        <v>37</v>
      </c>
      <c r="O4" s="7" t="s">
        <v>160</v>
      </c>
      <c r="P4" s="7" t="s">
        <v>79</v>
      </c>
      <c r="Q4" s="7" t="s">
        <v>195</v>
      </c>
      <c r="R4" s="7" t="s">
        <v>80</v>
      </c>
      <c r="S4" s="7" t="s">
        <v>81</v>
      </c>
      <c r="T4" s="7" t="s">
        <v>196</v>
      </c>
      <c r="U4" s="19" t="s">
        <v>138</v>
      </c>
      <c r="V4" s="19" t="s">
        <v>139</v>
      </c>
      <c r="W4" s="7" t="s">
        <v>82</v>
      </c>
      <c r="X4" s="7" t="s">
        <v>83</v>
      </c>
      <c r="Y4" s="7" t="s">
        <v>84</v>
      </c>
      <c r="Z4" s="7" t="s">
        <v>85</v>
      </c>
      <c r="AA4" s="7" t="s">
        <v>86</v>
      </c>
      <c r="AB4" s="7" t="s">
        <v>87</v>
      </c>
    </row>
    <row r="5" spans="2:28" x14ac:dyDescent="0.25">
      <c r="B5" s="8">
        <v>1</v>
      </c>
      <c r="C5" s="8" t="s">
        <v>91</v>
      </c>
      <c r="D5" s="9">
        <v>46023</v>
      </c>
      <c r="E5" s="9">
        <v>46029</v>
      </c>
      <c r="F5" s="8">
        <v>7</v>
      </c>
      <c r="G5" s="10" t="s">
        <v>14</v>
      </c>
      <c r="H5" s="10" t="s">
        <v>37</v>
      </c>
      <c r="I5" s="10" t="s">
        <v>122</v>
      </c>
      <c r="J5" s="10" t="s">
        <v>123</v>
      </c>
      <c r="K5" s="10" t="s">
        <v>124</v>
      </c>
      <c r="L5" s="10" t="s">
        <v>198</v>
      </c>
      <c r="M5" s="10" t="s">
        <v>162</v>
      </c>
      <c r="N5" s="22">
        <v>0.95</v>
      </c>
      <c r="O5" s="26">
        <v>95</v>
      </c>
      <c r="P5" s="24">
        <f>N5</f>
        <v>0.95</v>
      </c>
      <c r="Q5" s="22">
        <v>0.9</v>
      </c>
      <c r="R5" s="24">
        <f>P5/Q5</f>
        <v>1.0555555555555556</v>
      </c>
      <c r="S5" s="20">
        <f>O5/U5</f>
        <v>15.833333333333334</v>
      </c>
      <c r="T5" s="20">
        <v>15</v>
      </c>
      <c r="U5" s="20">
        <v>6</v>
      </c>
      <c r="V5" s="20">
        <v>4</v>
      </c>
      <c r="W5" s="22">
        <f>V5/U5</f>
        <v>0.66666666666666663</v>
      </c>
      <c r="X5" s="22">
        <f>IF(P5&gt;=Q5,1,P5/Q5)</f>
        <v>1</v>
      </c>
      <c r="Y5" s="22">
        <f>W5*X5</f>
        <v>0.66666666666666663</v>
      </c>
      <c r="Z5" s="22">
        <f>S5/T5</f>
        <v>1.0555555555555556</v>
      </c>
      <c r="AA5" s="10" t="s">
        <v>191</v>
      </c>
      <c r="AB5" s="10" t="s">
        <v>161</v>
      </c>
    </row>
    <row r="6" spans="2:28" x14ac:dyDescent="0.25">
      <c r="B6" s="10">
        <v>2</v>
      </c>
      <c r="C6" s="10" t="s">
        <v>92</v>
      </c>
      <c r="D6" s="11">
        <v>46030</v>
      </c>
      <c r="E6" s="11">
        <v>46036</v>
      </c>
      <c r="F6" s="10">
        <v>7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22">
        <v>0.9</v>
      </c>
      <c r="R6" s="10"/>
      <c r="S6" s="10"/>
      <c r="T6" s="20">
        <v>15</v>
      </c>
      <c r="U6" s="10"/>
      <c r="V6" s="10"/>
      <c r="W6" s="10"/>
      <c r="X6" s="10"/>
      <c r="Y6" s="10"/>
      <c r="Z6" s="10"/>
      <c r="AA6" s="10"/>
      <c r="AB6" s="10"/>
    </row>
    <row r="7" spans="2:28" x14ac:dyDescent="0.25">
      <c r="B7" s="10">
        <v>3</v>
      </c>
      <c r="C7" s="10" t="s">
        <v>92</v>
      </c>
      <c r="D7" s="11">
        <v>46037</v>
      </c>
      <c r="E7" s="11">
        <v>46043</v>
      </c>
      <c r="F7" s="10">
        <v>7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22">
        <v>0.9</v>
      </c>
      <c r="R7" s="10"/>
      <c r="S7" s="10"/>
      <c r="T7" s="20">
        <v>15</v>
      </c>
      <c r="U7" s="10"/>
      <c r="V7" s="10"/>
      <c r="W7" s="10"/>
      <c r="X7" s="10"/>
      <c r="Y7" s="10"/>
      <c r="Z7" s="10"/>
      <c r="AA7" s="10"/>
      <c r="AB7" s="10"/>
    </row>
    <row r="8" spans="2:28" x14ac:dyDescent="0.25">
      <c r="B8" s="10">
        <v>4</v>
      </c>
      <c r="C8" s="10" t="s">
        <v>92</v>
      </c>
      <c r="D8" s="11">
        <v>46044</v>
      </c>
      <c r="E8" s="11">
        <v>46050</v>
      </c>
      <c r="F8" s="10">
        <v>7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22">
        <v>0.9</v>
      </c>
      <c r="R8" s="10"/>
      <c r="S8" s="10"/>
      <c r="T8" s="20">
        <v>15</v>
      </c>
      <c r="U8" s="10"/>
      <c r="V8" s="10"/>
      <c r="W8" s="10"/>
      <c r="X8" s="10"/>
      <c r="Y8" s="10"/>
      <c r="Z8" s="10"/>
      <c r="AA8" s="10"/>
      <c r="AB8" s="10"/>
    </row>
    <row r="9" spans="2:28" x14ac:dyDescent="0.25">
      <c r="B9" s="10">
        <v>5</v>
      </c>
      <c r="C9" s="10" t="s">
        <v>92</v>
      </c>
      <c r="D9" s="11">
        <v>46051</v>
      </c>
      <c r="E9" s="11">
        <v>46057</v>
      </c>
      <c r="F9" s="10">
        <v>7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22">
        <v>0.9</v>
      </c>
      <c r="R9" s="10"/>
      <c r="S9" s="10"/>
      <c r="T9" s="20">
        <v>15</v>
      </c>
      <c r="U9" s="10"/>
      <c r="V9" s="10"/>
      <c r="W9" s="10"/>
      <c r="X9" s="10"/>
      <c r="Y9" s="10"/>
      <c r="Z9" s="10"/>
      <c r="AA9" s="10"/>
      <c r="AB9" s="10"/>
    </row>
    <row r="10" spans="2:28" x14ac:dyDescent="0.25">
      <c r="B10" s="10">
        <v>6</v>
      </c>
      <c r="C10" s="10" t="s">
        <v>92</v>
      </c>
      <c r="D10" s="11">
        <v>46058</v>
      </c>
      <c r="E10" s="11">
        <v>46064</v>
      </c>
      <c r="F10" s="10">
        <v>7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22">
        <v>0.9</v>
      </c>
      <c r="R10" s="10"/>
      <c r="S10" s="10"/>
      <c r="T10" s="20">
        <v>15</v>
      </c>
      <c r="U10" s="10"/>
      <c r="V10" s="10"/>
      <c r="W10" s="10"/>
      <c r="X10" s="10"/>
      <c r="Y10" s="10"/>
      <c r="Z10" s="10"/>
      <c r="AA10" s="10"/>
      <c r="AB10" s="10"/>
    </row>
    <row r="11" spans="2:28" x14ac:dyDescent="0.25">
      <c r="B11" s="10">
        <v>7</v>
      </c>
      <c r="C11" s="10" t="s">
        <v>92</v>
      </c>
      <c r="D11" s="11">
        <v>46065</v>
      </c>
      <c r="E11" s="11">
        <v>46071</v>
      </c>
      <c r="F11" s="10">
        <v>7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2">
        <v>0.9</v>
      </c>
      <c r="R11" s="10"/>
      <c r="S11" s="10"/>
      <c r="T11" s="20">
        <v>15</v>
      </c>
      <c r="U11" s="10"/>
      <c r="V11" s="10"/>
      <c r="W11" s="10"/>
      <c r="X11" s="10"/>
      <c r="Y11" s="10"/>
      <c r="Z11" s="10"/>
      <c r="AA11" s="10"/>
      <c r="AB11" s="10"/>
    </row>
    <row r="12" spans="2:28" x14ac:dyDescent="0.25">
      <c r="B12" s="10">
        <v>8</v>
      </c>
      <c r="C12" s="10" t="s">
        <v>92</v>
      </c>
      <c r="D12" s="11">
        <v>46072</v>
      </c>
      <c r="E12" s="11">
        <v>46078</v>
      </c>
      <c r="F12" s="10">
        <v>7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22">
        <v>0.9</v>
      </c>
      <c r="R12" s="10"/>
      <c r="S12" s="10"/>
      <c r="T12" s="20">
        <v>15</v>
      </c>
      <c r="U12" s="10"/>
      <c r="V12" s="10"/>
      <c r="W12" s="10"/>
      <c r="X12" s="10"/>
      <c r="Y12" s="10"/>
      <c r="Z12" s="10"/>
      <c r="AA12" s="10"/>
      <c r="AB12" s="10"/>
    </row>
    <row r="13" spans="2:28" x14ac:dyDescent="0.25">
      <c r="B13" s="10">
        <v>9</v>
      </c>
      <c r="C13" s="10" t="s">
        <v>92</v>
      </c>
      <c r="D13" s="11">
        <v>46079</v>
      </c>
      <c r="E13" s="11">
        <v>46085</v>
      </c>
      <c r="F13" s="10">
        <v>7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22">
        <v>0.9</v>
      </c>
      <c r="R13" s="10"/>
      <c r="S13" s="10"/>
      <c r="T13" s="20">
        <v>15</v>
      </c>
      <c r="U13" s="10"/>
      <c r="V13" s="10"/>
      <c r="W13" s="10"/>
      <c r="X13" s="10"/>
      <c r="Y13" s="10"/>
      <c r="Z13" s="10"/>
      <c r="AA13" s="10"/>
      <c r="AB13" s="10"/>
    </row>
    <row r="14" spans="2:28" x14ac:dyDescent="0.25">
      <c r="B14" s="10">
        <v>10</v>
      </c>
      <c r="C14" s="10" t="s">
        <v>92</v>
      </c>
      <c r="D14" s="11">
        <v>46086</v>
      </c>
      <c r="E14" s="11">
        <v>46092</v>
      </c>
      <c r="F14" s="10">
        <v>7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22">
        <v>0.9</v>
      </c>
      <c r="R14" s="10"/>
      <c r="S14" s="10"/>
      <c r="T14" s="20">
        <v>15</v>
      </c>
      <c r="U14" s="10"/>
      <c r="V14" s="10"/>
      <c r="W14" s="10"/>
      <c r="X14" s="10"/>
      <c r="Y14" s="10"/>
      <c r="Z14" s="10"/>
      <c r="AA14" s="10"/>
      <c r="AB14" s="10"/>
    </row>
    <row r="15" spans="2:28" x14ac:dyDescent="0.25">
      <c r="B15" s="10">
        <v>11</v>
      </c>
      <c r="C15" s="10" t="s">
        <v>92</v>
      </c>
      <c r="D15" s="11">
        <v>46093</v>
      </c>
      <c r="E15" s="11">
        <v>46099</v>
      </c>
      <c r="F15" s="10">
        <v>7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22">
        <v>0.9</v>
      </c>
      <c r="R15" s="10"/>
      <c r="S15" s="10"/>
      <c r="T15" s="20">
        <v>15</v>
      </c>
      <c r="U15" s="10"/>
      <c r="V15" s="10"/>
      <c r="W15" s="10"/>
      <c r="X15" s="10"/>
      <c r="Y15" s="10"/>
      <c r="Z15" s="10"/>
      <c r="AA15" s="10"/>
      <c r="AB15" s="10"/>
    </row>
    <row r="16" spans="2:28" x14ac:dyDescent="0.25">
      <c r="B16" s="10">
        <v>12</v>
      </c>
      <c r="C16" s="10" t="s">
        <v>92</v>
      </c>
      <c r="D16" s="11">
        <v>46100</v>
      </c>
      <c r="E16" s="11">
        <v>46106</v>
      </c>
      <c r="F16" s="10">
        <v>7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22">
        <v>0.9</v>
      </c>
      <c r="R16" s="10"/>
      <c r="S16" s="10"/>
      <c r="T16" s="20">
        <v>15</v>
      </c>
      <c r="U16" s="10"/>
      <c r="V16" s="10"/>
      <c r="W16" s="10"/>
      <c r="X16" s="10"/>
      <c r="Y16" s="10"/>
      <c r="Z16" s="10"/>
      <c r="AA16" s="10"/>
      <c r="AB16" s="10"/>
    </row>
    <row r="17" spans="2:28" ht="15.75" thickBot="1" x14ac:dyDescent="0.3">
      <c r="B17" s="12">
        <v>13</v>
      </c>
      <c r="C17" s="12" t="s">
        <v>93</v>
      </c>
      <c r="D17" s="13">
        <v>46107</v>
      </c>
      <c r="E17" s="13">
        <v>46109</v>
      </c>
      <c r="F17" s="12">
        <v>3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23">
        <v>0.9</v>
      </c>
      <c r="R17" s="12"/>
      <c r="S17" s="12"/>
      <c r="T17" s="21">
        <v>15</v>
      </c>
      <c r="U17" s="12"/>
      <c r="V17" s="12"/>
      <c r="W17" s="12"/>
      <c r="X17" s="12"/>
      <c r="Y17" s="12"/>
      <c r="Z17" s="12"/>
      <c r="AA17" s="12"/>
      <c r="AB17" s="12"/>
    </row>
    <row r="18" spans="2:28" x14ac:dyDescent="0.25">
      <c r="B18" s="8">
        <v>1</v>
      </c>
      <c r="C18" s="8" t="s">
        <v>94</v>
      </c>
      <c r="D18" s="9">
        <v>46110</v>
      </c>
      <c r="E18" s="9">
        <v>46116</v>
      </c>
      <c r="F18" s="8">
        <v>7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2:28" x14ac:dyDescent="0.25">
      <c r="B19" s="10">
        <v>2</v>
      </c>
      <c r="C19" s="10" t="s">
        <v>95</v>
      </c>
      <c r="D19" s="11">
        <v>46117</v>
      </c>
      <c r="E19" s="11">
        <v>46123</v>
      </c>
      <c r="F19" s="10">
        <v>7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2:28" x14ac:dyDescent="0.25">
      <c r="B20" s="10">
        <v>3</v>
      </c>
      <c r="C20" s="10" t="s">
        <v>95</v>
      </c>
      <c r="D20" s="11">
        <v>46124</v>
      </c>
      <c r="E20" s="11">
        <v>46130</v>
      </c>
      <c r="F20" s="10">
        <v>7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spans="2:28" x14ac:dyDescent="0.25">
      <c r="B21" s="10">
        <v>4</v>
      </c>
      <c r="C21" s="10" t="s">
        <v>95</v>
      </c>
      <c r="D21" s="11">
        <v>46131</v>
      </c>
      <c r="E21" s="11">
        <v>46137</v>
      </c>
      <c r="F21" s="10">
        <v>7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pans="2:28" x14ac:dyDescent="0.25">
      <c r="B22" s="10">
        <v>5</v>
      </c>
      <c r="C22" s="10" t="s">
        <v>95</v>
      </c>
      <c r="D22" s="11">
        <v>46138</v>
      </c>
      <c r="E22" s="11">
        <v>46144</v>
      </c>
      <c r="F22" s="10">
        <v>7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spans="2:28" x14ac:dyDescent="0.25">
      <c r="B23" s="10">
        <v>6</v>
      </c>
      <c r="C23" s="10" t="s">
        <v>95</v>
      </c>
      <c r="D23" s="11">
        <v>46145</v>
      </c>
      <c r="E23" s="11">
        <v>46151</v>
      </c>
      <c r="F23" s="10">
        <v>7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pans="2:28" x14ac:dyDescent="0.25">
      <c r="B24" s="10">
        <v>7</v>
      </c>
      <c r="C24" s="10" t="s">
        <v>95</v>
      </c>
      <c r="D24" s="11">
        <v>46152</v>
      </c>
      <c r="E24" s="11">
        <v>46158</v>
      </c>
      <c r="F24" s="10">
        <v>7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spans="2:28" x14ac:dyDescent="0.25">
      <c r="B25" s="10">
        <v>8</v>
      </c>
      <c r="C25" s="10" t="s">
        <v>95</v>
      </c>
      <c r="D25" s="11">
        <v>46159</v>
      </c>
      <c r="E25" s="11">
        <v>46165</v>
      </c>
      <c r="F25" s="10">
        <v>7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2:28" x14ac:dyDescent="0.25">
      <c r="B26" s="10">
        <v>9</v>
      </c>
      <c r="C26" s="10" t="s">
        <v>95</v>
      </c>
      <c r="D26" s="11">
        <v>46166</v>
      </c>
      <c r="E26" s="11">
        <v>46172</v>
      </c>
      <c r="F26" s="10">
        <v>7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2:28" x14ac:dyDescent="0.25">
      <c r="B27" s="10">
        <v>10</v>
      </c>
      <c r="C27" s="10" t="s">
        <v>95</v>
      </c>
      <c r="D27" s="11">
        <v>46173</v>
      </c>
      <c r="E27" s="11">
        <v>46179</v>
      </c>
      <c r="F27" s="10">
        <v>7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2:28" x14ac:dyDescent="0.25">
      <c r="B28" s="10">
        <v>11</v>
      </c>
      <c r="C28" s="10" t="s">
        <v>95</v>
      </c>
      <c r="D28" s="11">
        <v>46180</v>
      </c>
      <c r="E28" s="11">
        <v>46186</v>
      </c>
      <c r="F28" s="10">
        <v>7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2:28" x14ac:dyDescent="0.25">
      <c r="B29" s="10">
        <v>12</v>
      </c>
      <c r="C29" s="10" t="s">
        <v>95</v>
      </c>
      <c r="D29" s="11">
        <v>46187</v>
      </c>
      <c r="E29" s="11">
        <v>46193</v>
      </c>
      <c r="F29" s="10">
        <v>7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2:28" ht="15.75" thickBot="1" x14ac:dyDescent="0.3">
      <c r="B30" s="12">
        <v>13</v>
      </c>
      <c r="C30" s="12" t="s">
        <v>96</v>
      </c>
      <c r="D30" s="13">
        <v>46194</v>
      </c>
      <c r="E30" s="13">
        <v>46201</v>
      </c>
      <c r="F30" s="12">
        <v>8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 spans="2:28" x14ac:dyDescent="0.25">
      <c r="B31" s="8">
        <v>1</v>
      </c>
      <c r="C31" s="8" t="s">
        <v>97</v>
      </c>
      <c r="D31" s="9">
        <v>46202</v>
      </c>
      <c r="E31" s="9">
        <v>46208</v>
      </c>
      <c r="F31" s="8">
        <v>7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2:28" x14ac:dyDescent="0.25">
      <c r="B32" s="10">
        <v>2</v>
      </c>
      <c r="C32" s="10" t="s">
        <v>98</v>
      </c>
      <c r="D32" s="11">
        <v>46209</v>
      </c>
      <c r="E32" s="11">
        <v>46215</v>
      </c>
      <c r="F32" s="10">
        <v>7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2:28" x14ac:dyDescent="0.25">
      <c r="B33" s="10">
        <v>3</v>
      </c>
      <c r="C33" s="10" t="s">
        <v>98</v>
      </c>
      <c r="D33" s="11">
        <v>46216</v>
      </c>
      <c r="E33" s="11">
        <v>46222</v>
      </c>
      <c r="F33" s="10">
        <v>7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spans="2:28" x14ac:dyDescent="0.25">
      <c r="B34" s="10">
        <v>4</v>
      </c>
      <c r="C34" s="10" t="s">
        <v>98</v>
      </c>
      <c r="D34" s="11">
        <v>46223</v>
      </c>
      <c r="E34" s="11">
        <v>46229</v>
      </c>
      <c r="F34" s="10">
        <v>7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spans="2:28" x14ac:dyDescent="0.25">
      <c r="B35" s="10">
        <v>5</v>
      </c>
      <c r="C35" s="10" t="s">
        <v>98</v>
      </c>
      <c r="D35" s="11">
        <v>46230</v>
      </c>
      <c r="E35" s="11">
        <v>46236</v>
      </c>
      <c r="F35" s="10">
        <v>7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2:28" x14ac:dyDescent="0.25">
      <c r="B36" s="10">
        <v>6</v>
      </c>
      <c r="C36" s="10" t="s">
        <v>98</v>
      </c>
      <c r="D36" s="11">
        <v>46237</v>
      </c>
      <c r="E36" s="11">
        <v>46243</v>
      </c>
      <c r="F36" s="10">
        <v>7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spans="2:28" x14ac:dyDescent="0.25">
      <c r="B37" s="10">
        <v>7</v>
      </c>
      <c r="C37" s="10" t="s">
        <v>98</v>
      </c>
      <c r="D37" s="11">
        <v>46244</v>
      </c>
      <c r="E37" s="11">
        <v>46250</v>
      </c>
      <c r="F37" s="10">
        <v>7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spans="2:28" x14ac:dyDescent="0.25">
      <c r="B38" s="10">
        <v>8</v>
      </c>
      <c r="C38" s="10" t="s">
        <v>98</v>
      </c>
      <c r="D38" s="11">
        <v>46251</v>
      </c>
      <c r="E38" s="11">
        <v>46257</v>
      </c>
      <c r="F38" s="10">
        <v>7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2:28" x14ac:dyDescent="0.25">
      <c r="B39" s="10">
        <v>9</v>
      </c>
      <c r="C39" s="10" t="s">
        <v>98</v>
      </c>
      <c r="D39" s="11">
        <v>46258</v>
      </c>
      <c r="E39" s="11">
        <v>46264</v>
      </c>
      <c r="F39" s="10">
        <v>7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2:28" x14ac:dyDescent="0.25">
      <c r="B40" s="10">
        <v>10</v>
      </c>
      <c r="C40" s="10" t="s">
        <v>98</v>
      </c>
      <c r="D40" s="11">
        <v>46265</v>
      </c>
      <c r="E40" s="11">
        <v>46271</v>
      </c>
      <c r="F40" s="10">
        <v>7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2:28" x14ac:dyDescent="0.25">
      <c r="B41" s="10">
        <v>11</v>
      </c>
      <c r="C41" s="10" t="s">
        <v>98</v>
      </c>
      <c r="D41" s="11">
        <v>46272</v>
      </c>
      <c r="E41" s="11">
        <v>46278</v>
      </c>
      <c r="F41" s="10">
        <v>7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2:28" x14ac:dyDescent="0.25">
      <c r="B42" s="10">
        <v>12</v>
      </c>
      <c r="C42" s="10" t="s">
        <v>98</v>
      </c>
      <c r="D42" s="11">
        <v>46279</v>
      </c>
      <c r="E42" s="11">
        <v>46285</v>
      </c>
      <c r="F42" s="10">
        <v>7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2:28" ht="15.75" thickBot="1" x14ac:dyDescent="0.3">
      <c r="B43" s="12">
        <v>13</v>
      </c>
      <c r="C43" s="12" t="s">
        <v>99</v>
      </c>
      <c r="D43" s="13">
        <v>46286</v>
      </c>
      <c r="E43" s="13">
        <v>46293</v>
      </c>
      <c r="F43" s="12">
        <v>8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spans="2:28" x14ac:dyDescent="0.25">
      <c r="B44" s="8">
        <v>1</v>
      </c>
      <c r="C44" s="8" t="s">
        <v>100</v>
      </c>
      <c r="D44" s="9">
        <v>46294</v>
      </c>
      <c r="E44" s="9">
        <v>46300</v>
      </c>
      <c r="F44" s="8">
        <v>7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2:28" x14ac:dyDescent="0.25">
      <c r="B45" s="10">
        <v>2</v>
      </c>
      <c r="C45" s="10" t="s">
        <v>101</v>
      </c>
      <c r="D45" s="11">
        <v>46301</v>
      </c>
      <c r="E45" s="11">
        <v>46307</v>
      </c>
      <c r="F45" s="10">
        <v>7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spans="2:28" x14ac:dyDescent="0.25">
      <c r="B46" s="10">
        <v>3</v>
      </c>
      <c r="C46" s="10" t="s">
        <v>101</v>
      </c>
      <c r="D46" s="11">
        <v>46308</v>
      </c>
      <c r="E46" s="11">
        <v>46314</v>
      </c>
      <c r="F46" s="10">
        <v>7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spans="2:28" x14ac:dyDescent="0.25">
      <c r="B47" s="10">
        <v>4</v>
      </c>
      <c r="C47" s="10" t="s">
        <v>101</v>
      </c>
      <c r="D47" s="11">
        <v>46315</v>
      </c>
      <c r="E47" s="11">
        <v>46321</v>
      </c>
      <c r="F47" s="10">
        <v>7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spans="2:28" x14ac:dyDescent="0.25">
      <c r="B48" s="10">
        <v>5</v>
      </c>
      <c r="C48" s="10" t="s">
        <v>101</v>
      </c>
      <c r="D48" s="11">
        <v>46322</v>
      </c>
      <c r="E48" s="11">
        <v>46328</v>
      </c>
      <c r="F48" s="10">
        <v>7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spans="2:28" x14ac:dyDescent="0.25">
      <c r="B49" s="10">
        <v>6</v>
      </c>
      <c r="C49" s="10" t="s">
        <v>101</v>
      </c>
      <c r="D49" s="11">
        <v>46329</v>
      </c>
      <c r="E49" s="11">
        <v>46335</v>
      </c>
      <c r="F49" s="10">
        <v>7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spans="2:28" x14ac:dyDescent="0.25">
      <c r="B50" s="10">
        <v>7</v>
      </c>
      <c r="C50" s="10" t="s">
        <v>101</v>
      </c>
      <c r="D50" s="11">
        <v>46336</v>
      </c>
      <c r="E50" s="11">
        <v>46342</v>
      </c>
      <c r="F50" s="10">
        <v>7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spans="2:28" x14ac:dyDescent="0.25">
      <c r="B51" s="10">
        <v>8</v>
      </c>
      <c r="C51" s="10" t="s">
        <v>101</v>
      </c>
      <c r="D51" s="11">
        <v>46343</v>
      </c>
      <c r="E51" s="11">
        <v>46349</v>
      </c>
      <c r="F51" s="10">
        <v>7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spans="2:28" x14ac:dyDescent="0.25">
      <c r="B52" s="10">
        <v>9</v>
      </c>
      <c r="C52" s="10" t="s">
        <v>101</v>
      </c>
      <c r="D52" s="11">
        <v>46350</v>
      </c>
      <c r="E52" s="11">
        <v>46356</v>
      </c>
      <c r="F52" s="10">
        <v>7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spans="2:28" x14ac:dyDescent="0.25">
      <c r="B53" s="10">
        <v>10</v>
      </c>
      <c r="C53" s="10" t="s">
        <v>101</v>
      </c>
      <c r="D53" s="11">
        <v>46357</v>
      </c>
      <c r="E53" s="11">
        <v>46363</v>
      </c>
      <c r="F53" s="10">
        <v>7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spans="2:28" x14ac:dyDescent="0.25">
      <c r="B54" s="10">
        <v>11</v>
      </c>
      <c r="C54" s="10" t="s">
        <v>101</v>
      </c>
      <c r="D54" s="11">
        <v>46364</v>
      </c>
      <c r="E54" s="11">
        <v>46370</v>
      </c>
      <c r="F54" s="10">
        <v>7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spans="2:28" x14ac:dyDescent="0.25">
      <c r="B55" s="10">
        <v>12</v>
      </c>
      <c r="C55" s="10" t="s">
        <v>101</v>
      </c>
      <c r="D55" s="11">
        <v>46371</v>
      </c>
      <c r="E55" s="11">
        <v>46377</v>
      </c>
      <c r="F55" s="10">
        <v>7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spans="2:28" ht="15.75" thickBot="1" x14ac:dyDescent="0.3">
      <c r="B56" s="12">
        <v>13</v>
      </c>
      <c r="C56" s="12" t="s">
        <v>102</v>
      </c>
      <c r="D56" s="13">
        <v>46378</v>
      </c>
      <c r="E56" s="13">
        <v>46387</v>
      </c>
      <c r="F56" s="12">
        <v>10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spans="2:28" x14ac:dyDescent="0.25"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</sheetData>
  <mergeCells count="1">
    <mergeCell ref="B2:AB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EF9A6CC-FC2A-4C03-BCB9-0A65D8B9D36F}">
          <x14:formula1>
            <xm:f>'Datos de la hoja'!$B$2:$B$4</xm:f>
          </x14:formula1>
          <xm:sqref>AA5:AA56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1440D-BBCD-49C5-BAFE-9FD7E99F0AE2}">
  <dimension ref="B1:AA57"/>
  <sheetViews>
    <sheetView showGridLines="0" zoomScale="130" zoomScaleNormal="130" workbookViewId="0">
      <selection activeCell="L5" sqref="L5"/>
    </sheetView>
  </sheetViews>
  <sheetFormatPr baseColWidth="10" defaultRowHeight="15" x14ac:dyDescent="0.25"/>
  <cols>
    <col min="1" max="1" width="10.140625" customWidth="1"/>
    <col min="2" max="2" width="9.28515625" bestFit="1" customWidth="1"/>
    <col min="3" max="3" width="18.140625" bestFit="1" customWidth="1"/>
    <col min="4" max="4" width="12.85546875" bestFit="1" customWidth="1"/>
    <col min="5" max="5" width="12.42578125" bestFit="1" customWidth="1"/>
    <col min="6" max="6" width="15.85546875" bestFit="1" customWidth="1"/>
    <col min="7" max="7" width="18.28515625" bestFit="1" customWidth="1"/>
    <col min="8" max="8" width="41.5703125" bestFit="1" customWidth="1"/>
    <col min="9" max="9" width="9.140625" bestFit="1" customWidth="1"/>
    <col min="10" max="10" width="35.42578125" bestFit="1" customWidth="1"/>
    <col min="11" max="11" width="29.5703125" bestFit="1" customWidth="1"/>
    <col min="12" max="12" width="13.85546875" bestFit="1" customWidth="1"/>
    <col min="13" max="13" width="176.85546875" bestFit="1" customWidth="1"/>
    <col min="14" max="14" width="41.5703125" bestFit="1" customWidth="1"/>
    <col min="15" max="15" width="14.5703125" bestFit="1" customWidth="1"/>
    <col min="16" max="16" width="11" bestFit="1" customWidth="1"/>
    <col min="17" max="17" width="17.42578125" bestFit="1" customWidth="1"/>
    <col min="18" max="18" width="13.28515625" bestFit="1" customWidth="1"/>
    <col min="19" max="19" width="17.42578125" bestFit="1" customWidth="1"/>
    <col min="20" max="20" width="12.140625" bestFit="1" customWidth="1"/>
    <col min="21" max="21" width="18" bestFit="1" customWidth="1"/>
    <col min="22" max="22" width="14" bestFit="1" customWidth="1"/>
    <col min="23" max="23" width="12.42578125" bestFit="1" customWidth="1"/>
    <col min="24" max="24" width="14" bestFit="1" customWidth="1"/>
    <col min="25" max="25" width="15.5703125" bestFit="1" customWidth="1"/>
    <col min="26" max="26" width="20.140625" bestFit="1" customWidth="1"/>
    <col min="27" max="27" width="152.140625" bestFit="1" customWidth="1"/>
  </cols>
  <sheetData>
    <row r="1" spans="2:27" ht="15.75" thickBot="1" x14ac:dyDescent="0.3"/>
    <row r="2" spans="2:27" ht="30.75" thickBot="1" x14ac:dyDescent="0.45">
      <c r="B2" s="31" t="s">
        <v>16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3"/>
    </row>
    <row r="4" spans="2:27" x14ac:dyDescent="0.25">
      <c r="B4" s="7" t="s">
        <v>71</v>
      </c>
      <c r="C4" s="7" t="s">
        <v>72</v>
      </c>
      <c r="D4" s="7" t="s">
        <v>73</v>
      </c>
      <c r="E4" s="7" t="s">
        <v>74</v>
      </c>
      <c r="F4" s="7" t="s">
        <v>75</v>
      </c>
      <c r="G4" s="7" t="s">
        <v>0</v>
      </c>
      <c r="H4" s="7" t="s">
        <v>76</v>
      </c>
      <c r="I4" s="7" t="s">
        <v>2</v>
      </c>
      <c r="J4" s="7" t="s">
        <v>3</v>
      </c>
      <c r="K4" s="7" t="s">
        <v>4</v>
      </c>
      <c r="L4" s="7" t="s">
        <v>77</v>
      </c>
      <c r="M4" s="7" t="s">
        <v>78</v>
      </c>
      <c r="N4" s="7" t="s">
        <v>39</v>
      </c>
      <c r="O4" s="7" t="s">
        <v>79</v>
      </c>
      <c r="P4" s="7" t="s">
        <v>197</v>
      </c>
      <c r="Q4" s="7" t="s">
        <v>80</v>
      </c>
      <c r="R4" s="7" t="s">
        <v>81</v>
      </c>
      <c r="S4" s="7" t="s">
        <v>196</v>
      </c>
      <c r="T4" s="19" t="s">
        <v>138</v>
      </c>
      <c r="U4" s="19" t="s">
        <v>139</v>
      </c>
      <c r="V4" s="7" t="s">
        <v>82</v>
      </c>
      <c r="W4" s="7" t="s">
        <v>83</v>
      </c>
      <c r="X4" s="7" t="s">
        <v>84</v>
      </c>
      <c r="Y4" s="7" t="s">
        <v>85</v>
      </c>
      <c r="Z4" s="7" t="s">
        <v>86</v>
      </c>
      <c r="AA4" s="7" t="s">
        <v>87</v>
      </c>
    </row>
    <row r="5" spans="2:27" x14ac:dyDescent="0.25">
      <c r="B5" s="8">
        <v>1</v>
      </c>
      <c r="C5" s="8" t="s">
        <v>91</v>
      </c>
      <c r="D5" s="9">
        <v>46023</v>
      </c>
      <c r="E5" s="9">
        <v>46029</v>
      </c>
      <c r="F5" s="8">
        <v>7</v>
      </c>
      <c r="G5" s="10" t="s">
        <v>15</v>
      </c>
      <c r="H5" s="10" t="s">
        <v>39</v>
      </c>
      <c r="I5" s="10" t="s">
        <v>125</v>
      </c>
      <c r="J5" s="10" t="s">
        <v>126</v>
      </c>
      <c r="K5" s="10" t="s">
        <v>127</v>
      </c>
      <c r="L5" s="10" t="s">
        <v>198</v>
      </c>
      <c r="M5" s="10" t="s">
        <v>164</v>
      </c>
      <c r="N5" s="10">
        <v>75</v>
      </c>
      <c r="O5" s="10">
        <f>N5</f>
        <v>75</v>
      </c>
      <c r="P5" s="10">
        <v>60</v>
      </c>
      <c r="Q5" s="22">
        <f>O5/P5</f>
        <v>1.25</v>
      </c>
      <c r="R5" s="20">
        <f>N5/T5</f>
        <v>15</v>
      </c>
      <c r="S5" s="20">
        <v>15</v>
      </c>
      <c r="T5" s="20">
        <v>5</v>
      </c>
      <c r="U5" s="20">
        <v>4</v>
      </c>
      <c r="V5" s="22">
        <f>U5/T5</f>
        <v>0.8</v>
      </c>
      <c r="W5" s="22">
        <f>IF(O5&gt;=P5,1,O5/P5)</f>
        <v>1</v>
      </c>
      <c r="X5" s="22">
        <f>V5*W5</f>
        <v>0.8</v>
      </c>
      <c r="Y5" s="22">
        <f>R5/S5</f>
        <v>1</v>
      </c>
      <c r="Z5" s="10" t="s">
        <v>191</v>
      </c>
      <c r="AA5" s="10" t="s">
        <v>163</v>
      </c>
    </row>
    <row r="6" spans="2:27" x14ac:dyDescent="0.25">
      <c r="B6" s="10">
        <v>2</v>
      </c>
      <c r="C6" s="10" t="s">
        <v>92</v>
      </c>
      <c r="D6" s="11">
        <v>46030</v>
      </c>
      <c r="E6" s="11">
        <v>46036</v>
      </c>
      <c r="F6" s="10">
        <v>7</v>
      </c>
      <c r="G6" s="10"/>
      <c r="H6" s="10"/>
      <c r="I6" s="10"/>
      <c r="J6" s="10"/>
      <c r="K6" s="10"/>
      <c r="L6" s="10"/>
      <c r="M6" s="10"/>
      <c r="N6" s="10"/>
      <c r="O6" s="10"/>
      <c r="P6" s="10">
        <v>60</v>
      </c>
      <c r="Q6" s="10"/>
      <c r="R6" s="10"/>
      <c r="S6" s="20">
        <v>15</v>
      </c>
      <c r="T6" s="10"/>
      <c r="U6" s="10"/>
      <c r="V6" s="10"/>
      <c r="W6" s="10"/>
      <c r="X6" s="10"/>
      <c r="Y6" s="10"/>
      <c r="Z6" s="10"/>
      <c r="AA6" s="10"/>
    </row>
    <row r="7" spans="2:27" x14ac:dyDescent="0.25">
      <c r="B7" s="10">
        <v>3</v>
      </c>
      <c r="C7" s="10" t="s">
        <v>92</v>
      </c>
      <c r="D7" s="11">
        <v>46037</v>
      </c>
      <c r="E7" s="11">
        <v>46043</v>
      </c>
      <c r="F7" s="10">
        <v>7</v>
      </c>
      <c r="G7" s="10"/>
      <c r="H7" s="10"/>
      <c r="I7" s="10"/>
      <c r="J7" s="10"/>
      <c r="K7" s="10"/>
      <c r="L7" s="10"/>
      <c r="M7" s="10"/>
      <c r="N7" s="10"/>
      <c r="O7" s="10"/>
      <c r="P7" s="10">
        <v>60</v>
      </c>
      <c r="Q7" s="10"/>
      <c r="R7" s="10"/>
      <c r="S7" s="20">
        <v>15</v>
      </c>
      <c r="T7" s="10"/>
      <c r="U7" s="10"/>
      <c r="V7" s="10"/>
      <c r="W7" s="10"/>
      <c r="X7" s="10"/>
      <c r="Y7" s="10"/>
      <c r="Z7" s="10"/>
      <c r="AA7" s="10"/>
    </row>
    <row r="8" spans="2:27" x14ac:dyDescent="0.25">
      <c r="B8" s="10">
        <v>4</v>
      </c>
      <c r="C8" s="10" t="s">
        <v>92</v>
      </c>
      <c r="D8" s="11">
        <v>46044</v>
      </c>
      <c r="E8" s="11">
        <v>46050</v>
      </c>
      <c r="F8" s="10">
        <v>7</v>
      </c>
      <c r="G8" s="10"/>
      <c r="H8" s="10"/>
      <c r="I8" s="10"/>
      <c r="J8" s="10"/>
      <c r="K8" s="10"/>
      <c r="L8" s="10"/>
      <c r="M8" s="10"/>
      <c r="N8" s="10"/>
      <c r="O8" s="10"/>
      <c r="P8" s="10">
        <v>60</v>
      </c>
      <c r="Q8" s="10"/>
      <c r="R8" s="10"/>
      <c r="S8" s="20">
        <v>15</v>
      </c>
      <c r="T8" s="10"/>
      <c r="U8" s="10"/>
      <c r="V8" s="10"/>
      <c r="W8" s="10"/>
      <c r="X8" s="10"/>
      <c r="Y8" s="10"/>
      <c r="Z8" s="10"/>
      <c r="AA8" s="10"/>
    </row>
    <row r="9" spans="2:27" x14ac:dyDescent="0.25">
      <c r="B9" s="10">
        <v>5</v>
      </c>
      <c r="C9" s="10" t="s">
        <v>92</v>
      </c>
      <c r="D9" s="11">
        <v>46051</v>
      </c>
      <c r="E9" s="11">
        <v>46057</v>
      </c>
      <c r="F9" s="10">
        <v>7</v>
      </c>
      <c r="G9" s="10"/>
      <c r="H9" s="10"/>
      <c r="I9" s="10"/>
      <c r="J9" s="10"/>
      <c r="K9" s="10"/>
      <c r="L9" s="10"/>
      <c r="M9" s="10"/>
      <c r="N9" s="10"/>
      <c r="O9" s="10"/>
      <c r="P9" s="10">
        <v>60</v>
      </c>
      <c r="Q9" s="10"/>
      <c r="R9" s="10"/>
      <c r="S9" s="20">
        <v>15</v>
      </c>
      <c r="T9" s="10"/>
      <c r="U9" s="10"/>
      <c r="V9" s="10"/>
      <c r="W9" s="10"/>
      <c r="X9" s="10"/>
      <c r="Y9" s="10"/>
      <c r="Z9" s="10"/>
      <c r="AA9" s="10"/>
    </row>
    <row r="10" spans="2:27" x14ac:dyDescent="0.25">
      <c r="B10" s="10">
        <v>6</v>
      </c>
      <c r="C10" s="10" t="s">
        <v>92</v>
      </c>
      <c r="D10" s="11">
        <v>46058</v>
      </c>
      <c r="E10" s="11">
        <v>46064</v>
      </c>
      <c r="F10" s="10">
        <v>7</v>
      </c>
      <c r="G10" s="10"/>
      <c r="H10" s="10"/>
      <c r="I10" s="10"/>
      <c r="J10" s="10"/>
      <c r="K10" s="10"/>
      <c r="L10" s="10"/>
      <c r="M10" s="10"/>
      <c r="N10" s="10"/>
      <c r="O10" s="10"/>
      <c r="P10" s="10">
        <v>60</v>
      </c>
      <c r="Q10" s="10"/>
      <c r="R10" s="10"/>
      <c r="S10" s="20">
        <v>15</v>
      </c>
      <c r="T10" s="10"/>
      <c r="U10" s="10"/>
      <c r="V10" s="10"/>
      <c r="W10" s="10"/>
      <c r="X10" s="10"/>
      <c r="Y10" s="10"/>
      <c r="Z10" s="10"/>
      <c r="AA10" s="10"/>
    </row>
    <row r="11" spans="2:27" x14ac:dyDescent="0.25">
      <c r="B11" s="10">
        <v>7</v>
      </c>
      <c r="C11" s="10" t="s">
        <v>92</v>
      </c>
      <c r="D11" s="11">
        <v>46065</v>
      </c>
      <c r="E11" s="11">
        <v>46071</v>
      </c>
      <c r="F11" s="10">
        <v>7</v>
      </c>
      <c r="G11" s="10"/>
      <c r="H11" s="10"/>
      <c r="I11" s="10"/>
      <c r="J11" s="10"/>
      <c r="K11" s="10"/>
      <c r="L11" s="10"/>
      <c r="M11" s="10"/>
      <c r="N11" s="10"/>
      <c r="O11" s="10"/>
      <c r="P11" s="10">
        <v>60</v>
      </c>
      <c r="Q11" s="10"/>
      <c r="R11" s="10"/>
      <c r="S11" s="20">
        <v>15</v>
      </c>
      <c r="T11" s="10"/>
      <c r="U11" s="10"/>
      <c r="V11" s="10"/>
      <c r="W11" s="10"/>
      <c r="X11" s="10"/>
      <c r="Y11" s="10"/>
      <c r="Z11" s="10"/>
      <c r="AA11" s="10"/>
    </row>
    <row r="12" spans="2:27" x14ac:dyDescent="0.25">
      <c r="B12" s="10">
        <v>8</v>
      </c>
      <c r="C12" s="10" t="s">
        <v>92</v>
      </c>
      <c r="D12" s="11">
        <v>46072</v>
      </c>
      <c r="E12" s="11">
        <v>46078</v>
      </c>
      <c r="F12" s="10">
        <v>7</v>
      </c>
      <c r="G12" s="10"/>
      <c r="H12" s="10"/>
      <c r="I12" s="10"/>
      <c r="J12" s="10"/>
      <c r="K12" s="10"/>
      <c r="L12" s="10"/>
      <c r="M12" s="10"/>
      <c r="N12" s="10"/>
      <c r="O12" s="10"/>
      <c r="P12" s="10">
        <v>60</v>
      </c>
      <c r="Q12" s="10"/>
      <c r="R12" s="10"/>
      <c r="S12" s="20">
        <v>15</v>
      </c>
      <c r="T12" s="10"/>
      <c r="U12" s="10"/>
      <c r="V12" s="10"/>
      <c r="W12" s="10"/>
      <c r="X12" s="10"/>
      <c r="Y12" s="10"/>
      <c r="Z12" s="10"/>
      <c r="AA12" s="10"/>
    </row>
    <row r="13" spans="2:27" x14ac:dyDescent="0.25">
      <c r="B13" s="10">
        <v>9</v>
      </c>
      <c r="C13" s="10" t="s">
        <v>92</v>
      </c>
      <c r="D13" s="11">
        <v>46079</v>
      </c>
      <c r="E13" s="11">
        <v>46085</v>
      </c>
      <c r="F13" s="10">
        <v>7</v>
      </c>
      <c r="G13" s="10"/>
      <c r="H13" s="10"/>
      <c r="I13" s="10"/>
      <c r="J13" s="10"/>
      <c r="K13" s="10"/>
      <c r="L13" s="10"/>
      <c r="M13" s="10"/>
      <c r="N13" s="10"/>
      <c r="O13" s="10"/>
      <c r="P13" s="10">
        <v>60</v>
      </c>
      <c r="Q13" s="10"/>
      <c r="R13" s="10"/>
      <c r="S13" s="20">
        <v>15</v>
      </c>
      <c r="T13" s="10"/>
      <c r="U13" s="10"/>
      <c r="V13" s="10"/>
      <c r="W13" s="10"/>
      <c r="X13" s="10"/>
      <c r="Y13" s="10"/>
      <c r="Z13" s="10"/>
      <c r="AA13" s="10"/>
    </row>
    <row r="14" spans="2:27" x14ac:dyDescent="0.25">
      <c r="B14" s="10">
        <v>10</v>
      </c>
      <c r="C14" s="10" t="s">
        <v>92</v>
      </c>
      <c r="D14" s="11">
        <v>46086</v>
      </c>
      <c r="E14" s="11">
        <v>46092</v>
      </c>
      <c r="F14" s="10">
        <v>7</v>
      </c>
      <c r="G14" s="10"/>
      <c r="H14" s="10"/>
      <c r="I14" s="10"/>
      <c r="J14" s="10"/>
      <c r="K14" s="10"/>
      <c r="L14" s="10"/>
      <c r="M14" s="10"/>
      <c r="N14" s="10"/>
      <c r="O14" s="10"/>
      <c r="P14" s="10">
        <v>60</v>
      </c>
      <c r="Q14" s="10"/>
      <c r="R14" s="10"/>
      <c r="S14" s="20">
        <v>15</v>
      </c>
      <c r="T14" s="10"/>
      <c r="U14" s="10"/>
      <c r="V14" s="10"/>
      <c r="W14" s="10"/>
      <c r="X14" s="10"/>
      <c r="Y14" s="10"/>
      <c r="Z14" s="10"/>
      <c r="AA14" s="10"/>
    </row>
    <row r="15" spans="2:27" x14ac:dyDescent="0.25">
      <c r="B15" s="10">
        <v>11</v>
      </c>
      <c r="C15" s="10" t="s">
        <v>92</v>
      </c>
      <c r="D15" s="11">
        <v>46093</v>
      </c>
      <c r="E15" s="11">
        <v>46099</v>
      </c>
      <c r="F15" s="10">
        <v>7</v>
      </c>
      <c r="G15" s="10"/>
      <c r="H15" s="10"/>
      <c r="I15" s="10"/>
      <c r="J15" s="10"/>
      <c r="K15" s="10"/>
      <c r="L15" s="10"/>
      <c r="M15" s="10"/>
      <c r="N15" s="10"/>
      <c r="O15" s="10"/>
      <c r="P15" s="10">
        <v>60</v>
      </c>
      <c r="Q15" s="10"/>
      <c r="R15" s="10"/>
      <c r="S15" s="20">
        <v>15</v>
      </c>
      <c r="T15" s="10"/>
      <c r="U15" s="10"/>
      <c r="V15" s="10"/>
      <c r="W15" s="10"/>
      <c r="X15" s="10"/>
      <c r="Y15" s="10"/>
      <c r="Z15" s="10"/>
      <c r="AA15" s="10"/>
    </row>
    <row r="16" spans="2:27" x14ac:dyDescent="0.25">
      <c r="B16" s="10">
        <v>12</v>
      </c>
      <c r="C16" s="10" t="s">
        <v>92</v>
      </c>
      <c r="D16" s="11">
        <v>46100</v>
      </c>
      <c r="E16" s="11">
        <v>46106</v>
      </c>
      <c r="F16" s="10">
        <v>7</v>
      </c>
      <c r="G16" s="10"/>
      <c r="H16" s="10"/>
      <c r="I16" s="10"/>
      <c r="J16" s="10"/>
      <c r="K16" s="10"/>
      <c r="L16" s="10"/>
      <c r="M16" s="10"/>
      <c r="N16" s="10"/>
      <c r="O16" s="10"/>
      <c r="P16" s="10">
        <v>60</v>
      </c>
      <c r="Q16" s="10"/>
      <c r="R16" s="10"/>
      <c r="S16" s="20">
        <v>15</v>
      </c>
      <c r="T16" s="10"/>
      <c r="U16" s="10"/>
      <c r="V16" s="10"/>
      <c r="W16" s="10"/>
      <c r="X16" s="10"/>
      <c r="Y16" s="10"/>
      <c r="Z16" s="10"/>
      <c r="AA16" s="10"/>
    </row>
    <row r="17" spans="2:27" ht="15.75" thickBot="1" x14ac:dyDescent="0.3">
      <c r="B17" s="12">
        <v>13</v>
      </c>
      <c r="C17" s="12" t="s">
        <v>93</v>
      </c>
      <c r="D17" s="13">
        <v>46107</v>
      </c>
      <c r="E17" s="13">
        <v>46109</v>
      </c>
      <c r="F17" s="12">
        <v>3</v>
      </c>
      <c r="G17" s="12"/>
      <c r="H17" s="12"/>
      <c r="I17" s="12"/>
      <c r="J17" s="12"/>
      <c r="K17" s="12"/>
      <c r="L17" s="12"/>
      <c r="M17" s="12"/>
      <c r="N17" s="12"/>
      <c r="O17" s="12"/>
      <c r="P17" s="12">
        <v>60</v>
      </c>
      <c r="Q17" s="12"/>
      <c r="R17" s="12"/>
      <c r="S17" s="21">
        <v>15</v>
      </c>
      <c r="T17" s="12"/>
      <c r="U17" s="12"/>
      <c r="V17" s="12"/>
      <c r="W17" s="12"/>
      <c r="X17" s="12"/>
      <c r="Y17" s="12"/>
      <c r="Z17" s="12"/>
      <c r="AA17" s="12"/>
    </row>
    <row r="18" spans="2:27" x14ac:dyDescent="0.25">
      <c r="B18" s="8">
        <v>1</v>
      </c>
      <c r="C18" s="8" t="s">
        <v>94</v>
      </c>
      <c r="D18" s="9">
        <v>46110</v>
      </c>
      <c r="E18" s="9">
        <v>46116</v>
      </c>
      <c r="F18" s="8">
        <v>7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2:27" x14ac:dyDescent="0.25">
      <c r="B19" s="10">
        <v>2</v>
      </c>
      <c r="C19" s="10" t="s">
        <v>95</v>
      </c>
      <c r="D19" s="11">
        <v>46117</v>
      </c>
      <c r="E19" s="11">
        <v>46123</v>
      </c>
      <c r="F19" s="10">
        <v>7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2:27" x14ac:dyDescent="0.25">
      <c r="B20" s="10">
        <v>3</v>
      </c>
      <c r="C20" s="10" t="s">
        <v>95</v>
      </c>
      <c r="D20" s="11">
        <v>46124</v>
      </c>
      <c r="E20" s="11">
        <v>46130</v>
      </c>
      <c r="F20" s="10">
        <v>7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2:27" x14ac:dyDescent="0.25">
      <c r="B21" s="10">
        <v>4</v>
      </c>
      <c r="C21" s="10" t="s">
        <v>95</v>
      </c>
      <c r="D21" s="11">
        <v>46131</v>
      </c>
      <c r="E21" s="11">
        <v>46137</v>
      </c>
      <c r="F21" s="10">
        <v>7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2:27" x14ac:dyDescent="0.25">
      <c r="B22" s="10">
        <v>5</v>
      </c>
      <c r="C22" s="10" t="s">
        <v>95</v>
      </c>
      <c r="D22" s="11">
        <v>46138</v>
      </c>
      <c r="E22" s="11">
        <v>46144</v>
      </c>
      <c r="F22" s="10">
        <v>7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2:27" x14ac:dyDescent="0.25">
      <c r="B23" s="10">
        <v>6</v>
      </c>
      <c r="C23" s="10" t="s">
        <v>95</v>
      </c>
      <c r="D23" s="11">
        <v>46145</v>
      </c>
      <c r="E23" s="11">
        <v>46151</v>
      </c>
      <c r="F23" s="10">
        <v>7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2:27" x14ac:dyDescent="0.25">
      <c r="B24" s="10">
        <v>7</v>
      </c>
      <c r="C24" s="10" t="s">
        <v>95</v>
      </c>
      <c r="D24" s="11">
        <v>46152</v>
      </c>
      <c r="E24" s="11">
        <v>46158</v>
      </c>
      <c r="F24" s="10">
        <v>7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2:27" x14ac:dyDescent="0.25">
      <c r="B25" s="10">
        <v>8</v>
      </c>
      <c r="C25" s="10" t="s">
        <v>95</v>
      </c>
      <c r="D25" s="11">
        <v>46159</v>
      </c>
      <c r="E25" s="11">
        <v>46165</v>
      </c>
      <c r="F25" s="10">
        <v>7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2:27" x14ac:dyDescent="0.25">
      <c r="B26" s="10">
        <v>9</v>
      </c>
      <c r="C26" s="10" t="s">
        <v>95</v>
      </c>
      <c r="D26" s="11">
        <v>46166</v>
      </c>
      <c r="E26" s="11">
        <v>46172</v>
      </c>
      <c r="F26" s="10">
        <v>7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2:27" x14ac:dyDescent="0.25">
      <c r="B27" s="10">
        <v>10</v>
      </c>
      <c r="C27" s="10" t="s">
        <v>95</v>
      </c>
      <c r="D27" s="11">
        <v>46173</v>
      </c>
      <c r="E27" s="11">
        <v>46179</v>
      </c>
      <c r="F27" s="10">
        <v>7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2:27" x14ac:dyDescent="0.25">
      <c r="B28" s="10">
        <v>11</v>
      </c>
      <c r="C28" s="10" t="s">
        <v>95</v>
      </c>
      <c r="D28" s="11">
        <v>46180</v>
      </c>
      <c r="E28" s="11">
        <v>46186</v>
      </c>
      <c r="F28" s="10">
        <v>7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2:27" x14ac:dyDescent="0.25">
      <c r="B29" s="10">
        <v>12</v>
      </c>
      <c r="C29" s="10" t="s">
        <v>95</v>
      </c>
      <c r="D29" s="11">
        <v>46187</v>
      </c>
      <c r="E29" s="11">
        <v>46193</v>
      </c>
      <c r="F29" s="10">
        <v>7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2:27" ht="15.75" thickBot="1" x14ac:dyDescent="0.3">
      <c r="B30" s="12">
        <v>13</v>
      </c>
      <c r="C30" s="12" t="s">
        <v>96</v>
      </c>
      <c r="D30" s="13">
        <v>46194</v>
      </c>
      <c r="E30" s="13">
        <v>46201</v>
      </c>
      <c r="F30" s="12">
        <v>8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2:27" x14ac:dyDescent="0.25">
      <c r="B31" s="8">
        <v>1</v>
      </c>
      <c r="C31" s="8" t="s">
        <v>97</v>
      </c>
      <c r="D31" s="9">
        <v>46202</v>
      </c>
      <c r="E31" s="9">
        <v>46208</v>
      </c>
      <c r="F31" s="8">
        <v>7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2:27" x14ac:dyDescent="0.25">
      <c r="B32" s="10">
        <v>2</v>
      </c>
      <c r="C32" s="10" t="s">
        <v>98</v>
      </c>
      <c r="D32" s="11">
        <v>46209</v>
      </c>
      <c r="E32" s="11">
        <v>46215</v>
      </c>
      <c r="F32" s="10">
        <v>7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2:27" x14ac:dyDescent="0.25">
      <c r="B33" s="10">
        <v>3</v>
      </c>
      <c r="C33" s="10" t="s">
        <v>98</v>
      </c>
      <c r="D33" s="11">
        <v>46216</v>
      </c>
      <c r="E33" s="11">
        <v>46222</v>
      </c>
      <c r="F33" s="10">
        <v>7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2:27" x14ac:dyDescent="0.25">
      <c r="B34" s="10">
        <v>4</v>
      </c>
      <c r="C34" s="10" t="s">
        <v>98</v>
      </c>
      <c r="D34" s="11">
        <v>46223</v>
      </c>
      <c r="E34" s="11">
        <v>46229</v>
      </c>
      <c r="F34" s="10">
        <v>7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2:27" x14ac:dyDescent="0.25">
      <c r="B35" s="10">
        <v>5</v>
      </c>
      <c r="C35" s="10" t="s">
        <v>98</v>
      </c>
      <c r="D35" s="11">
        <v>46230</v>
      </c>
      <c r="E35" s="11">
        <v>46236</v>
      </c>
      <c r="F35" s="10">
        <v>7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2:27" x14ac:dyDescent="0.25">
      <c r="B36" s="10">
        <v>6</v>
      </c>
      <c r="C36" s="10" t="s">
        <v>98</v>
      </c>
      <c r="D36" s="11">
        <v>46237</v>
      </c>
      <c r="E36" s="11">
        <v>46243</v>
      </c>
      <c r="F36" s="10">
        <v>7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2:27" x14ac:dyDescent="0.25">
      <c r="B37" s="10">
        <v>7</v>
      </c>
      <c r="C37" s="10" t="s">
        <v>98</v>
      </c>
      <c r="D37" s="11">
        <v>46244</v>
      </c>
      <c r="E37" s="11">
        <v>46250</v>
      </c>
      <c r="F37" s="10">
        <v>7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2:27" x14ac:dyDescent="0.25">
      <c r="B38" s="10">
        <v>8</v>
      </c>
      <c r="C38" s="10" t="s">
        <v>98</v>
      </c>
      <c r="D38" s="11">
        <v>46251</v>
      </c>
      <c r="E38" s="11">
        <v>46257</v>
      </c>
      <c r="F38" s="10">
        <v>7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2:27" x14ac:dyDescent="0.25">
      <c r="B39" s="10">
        <v>9</v>
      </c>
      <c r="C39" s="10" t="s">
        <v>98</v>
      </c>
      <c r="D39" s="11">
        <v>46258</v>
      </c>
      <c r="E39" s="11">
        <v>46264</v>
      </c>
      <c r="F39" s="10">
        <v>7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2:27" x14ac:dyDescent="0.25">
      <c r="B40" s="10">
        <v>10</v>
      </c>
      <c r="C40" s="10" t="s">
        <v>98</v>
      </c>
      <c r="D40" s="11">
        <v>46265</v>
      </c>
      <c r="E40" s="11">
        <v>46271</v>
      </c>
      <c r="F40" s="10">
        <v>7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2:27" x14ac:dyDescent="0.25">
      <c r="B41" s="10">
        <v>11</v>
      </c>
      <c r="C41" s="10" t="s">
        <v>98</v>
      </c>
      <c r="D41" s="11">
        <v>46272</v>
      </c>
      <c r="E41" s="11">
        <v>46278</v>
      </c>
      <c r="F41" s="10">
        <v>7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2:27" x14ac:dyDescent="0.25">
      <c r="B42" s="10">
        <v>12</v>
      </c>
      <c r="C42" s="10" t="s">
        <v>98</v>
      </c>
      <c r="D42" s="11">
        <v>46279</v>
      </c>
      <c r="E42" s="11">
        <v>46285</v>
      </c>
      <c r="F42" s="10">
        <v>7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2:27" ht="15.75" thickBot="1" x14ac:dyDescent="0.3">
      <c r="B43" s="12">
        <v>13</v>
      </c>
      <c r="C43" s="12" t="s">
        <v>99</v>
      </c>
      <c r="D43" s="13">
        <v>46286</v>
      </c>
      <c r="E43" s="13">
        <v>46293</v>
      </c>
      <c r="F43" s="12">
        <v>8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2:27" x14ac:dyDescent="0.25">
      <c r="B44" s="8">
        <v>1</v>
      </c>
      <c r="C44" s="8" t="s">
        <v>100</v>
      </c>
      <c r="D44" s="9">
        <v>46294</v>
      </c>
      <c r="E44" s="9">
        <v>46300</v>
      </c>
      <c r="F44" s="8">
        <v>7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2:27" x14ac:dyDescent="0.25">
      <c r="B45" s="10">
        <v>2</v>
      </c>
      <c r="C45" s="10" t="s">
        <v>101</v>
      </c>
      <c r="D45" s="11">
        <v>46301</v>
      </c>
      <c r="E45" s="11">
        <v>46307</v>
      </c>
      <c r="F45" s="10">
        <v>7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2:27" x14ac:dyDescent="0.25">
      <c r="B46" s="10">
        <v>3</v>
      </c>
      <c r="C46" s="10" t="s">
        <v>101</v>
      </c>
      <c r="D46" s="11">
        <v>46308</v>
      </c>
      <c r="E46" s="11">
        <v>46314</v>
      </c>
      <c r="F46" s="10">
        <v>7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2:27" x14ac:dyDescent="0.25">
      <c r="B47" s="10">
        <v>4</v>
      </c>
      <c r="C47" s="10" t="s">
        <v>101</v>
      </c>
      <c r="D47" s="11">
        <v>46315</v>
      </c>
      <c r="E47" s="11">
        <v>46321</v>
      </c>
      <c r="F47" s="10">
        <v>7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2:27" x14ac:dyDescent="0.25">
      <c r="B48" s="10">
        <v>5</v>
      </c>
      <c r="C48" s="10" t="s">
        <v>101</v>
      </c>
      <c r="D48" s="11">
        <v>46322</v>
      </c>
      <c r="E48" s="11">
        <v>46328</v>
      </c>
      <c r="F48" s="10">
        <v>7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2:27" x14ac:dyDescent="0.25">
      <c r="B49" s="10">
        <v>6</v>
      </c>
      <c r="C49" s="10" t="s">
        <v>101</v>
      </c>
      <c r="D49" s="11">
        <v>46329</v>
      </c>
      <c r="E49" s="11">
        <v>46335</v>
      </c>
      <c r="F49" s="10">
        <v>7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2:27" x14ac:dyDescent="0.25">
      <c r="B50" s="10">
        <v>7</v>
      </c>
      <c r="C50" s="10" t="s">
        <v>101</v>
      </c>
      <c r="D50" s="11">
        <v>46336</v>
      </c>
      <c r="E50" s="11">
        <v>46342</v>
      </c>
      <c r="F50" s="10">
        <v>7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2:27" x14ac:dyDescent="0.25">
      <c r="B51" s="10">
        <v>8</v>
      </c>
      <c r="C51" s="10" t="s">
        <v>101</v>
      </c>
      <c r="D51" s="11">
        <v>46343</v>
      </c>
      <c r="E51" s="11">
        <v>46349</v>
      </c>
      <c r="F51" s="10">
        <v>7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2:27" x14ac:dyDescent="0.25">
      <c r="B52" s="10">
        <v>9</v>
      </c>
      <c r="C52" s="10" t="s">
        <v>101</v>
      </c>
      <c r="D52" s="11">
        <v>46350</v>
      </c>
      <c r="E52" s="11">
        <v>46356</v>
      </c>
      <c r="F52" s="10">
        <v>7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2:27" x14ac:dyDescent="0.25">
      <c r="B53" s="10">
        <v>10</v>
      </c>
      <c r="C53" s="10" t="s">
        <v>101</v>
      </c>
      <c r="D53" s="11">
        <v>46357</v>
      </c>
      <c r="E53" s="11">
        <v>46363</v>
      </c>
      <c r="F53" s="10">
        <v>7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2:27" x14ac:dyDescent="0.25">
      <c r="B54" s="10">
        <v>11</v>
      </c>
      <c r="C54" s="10" t="s">
        <v>101</v>
      </c>
      <c r="D54" s="11">
        <v>46364</v>
      </c>
      <c r="E54" s="11">
        <v>46370</v>
      </c>
      <c r="F54" s="10">
        <v>7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2:27" x14ac:dyDescent="0.25">
      <c r="B55" s="10">
        <v>12</v>
      </c>
      <c r="C55" s="10" t="s">
        <v>101</v>
      </c>
      <c r="D55" s="11">
        <v>46371</v>
      </c>
      <c r="E55" s="11">
        <v>46377</v>
      </c>
      <c r="F55" s="10">
        <v>7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2:27" ht="15.75" thickBot="1" x14ac:dyDescent="0.3">
      <c r="B56" s="12">
        <v>13</v>
      </c>
      <c r="C56" s="12" t="s">
        <v>102</v>
      </c>
      <c r="D56" s="13">
        <v>46378</v>
      </c>
      <c r="E56" s="13">
        <v>46387</v>
      </c>
      <c r="F56" s="12">
        <v>10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2:27" x14ac:dyDescent="0.25"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</sheetData>
  <mergeCells count="1">
    <mergeCell ref="B2:AA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E8C40D-D181-41B9-B5A3-2641D16C2D5B}">
          <x14:formula1>
            <xm:f>'Datos de la hoja'!$B$2:$B$4</xm:f>
          </x14:formula1>
          <xm:sqref>Z5:Z56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0A5CE-61E5-4D05-98FF-11116B059187}">
  <dimension ref="B2:B4"/>
  <sheetViews>
    <sheetView showGridLines="0" workbookViewId="0">
      <selection activeCell="X56" sqref="X56"/>
    </sheetView>
  </sheetViews>
  <sheetFormatPr baseColWidth="10" defaultRowHeight="15" x14ac:dyDescent="0.25"/>
  <cols>
    <col min="2" max="2" width="23.42578125" bestFit="1" customWidth="1"/>
  </cols>
  <sheetData>
    <row r="2" spans="2:2" x14ac:dyDescent="0.25">
      <c r="B2" t="s">
        <v>190</v>
      </c>
    </row>
    <row r="3" spans="2:2" x14ac:dyDescent="0.25">
      <c r="B3" t="s">
        <v>191</v>
      </c>
    </row>
    <row r="4" spans="2:2" x14ac:dyDescent="0.25">
      <c r="B4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Inicio</vt:lpstr>
      <vt:lpstr>Índice de formulas</vt:lpstr>
      <vt:lpstr>Leyenda de Evaluación de Indica</vt:lpstr>
      <vt:lpstr>Posicionamiento Keywords</vt:lpstr>
      <vt:lpstr>Velocidad de Carga</vt:lpstr>
      <vt:lpstr>Tasa de rebote</vt:lpstr>
      <vt:lpstr>Errores 404</vt:lpstr>
      <vt:lpstr>CTR en Google</vt:lpstr>
      <vt:lpstr>Mobile-Friendliness</vt:lpstr>
      <vt:lpstr>Conversión de contacto</vt:lpstr>
      <vt:lpstr>Actualización de contenido</vt:lpstr>
      <vt:lpstr>Uso de imágenes optimizadas</vt:lpstr>
      <vt:lpstr>Tiempo en página</vt:lpstr>
      <vt:lpstr>Datos de la 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u201810521 (Carbajal Ponte, Marco Antonio)</dc:creator>
  <cp:lastModifiedBy>marco antonio carbajal ponte</cp:lastModifiedBy>
  <dcterms:created xsi:type="dcterms:W3CDTF">2025-05-06T17:59:01Z</dcterms:created>
  <dcterms:modified xsi:type="dcterms:W3CDTF">2026-05-21T17:50:28Z</dcterms:modified>
</cp:coreProperties>
</file>